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B_repos\eastel-reports\eastel-report-scripts\reports-pipelines\report-generation-postgres\2-Invoice-Recon\"/>
    </mc:Choice>
  </mc:AlternateContent>
  <xr:revisionPtr revIDLastSave="0" documentId="13_ncr:1_{92DF96BF-C74B-4FF3-B6C6-2DE02810A68C}" xr6:coauthVersionLast="47" xr6:coauthVersionMax="47" xr10:uidLastSave="{00000000-0000-0000-0000-000000000000}"/>
  <bookViews>
    <workbookView xWindow="-108" yWindow="-108" windowWidth="23256" windowHeight="13896" tabRatio="671" xr2:uid="{00000000-000D-0000-FFFF-FFFF00000000}"/>
  </bookViews>
  <sheets>
    <sheet name="Summary" sheetId="1" r:id="rId1"/>
    <sheet name="Intl. SMS" sheetId="2" r:id="rId2"/>
    <sheet name="Intl. Voice" sheetId="3" r:id="rId3"/>
    <sheet name="Roaming Data" sheetId="4" r:id="rId4"/>
    <sheet name="Roaming Voice" sheetId="5" r:id="rId5"/>
    <sheet name="Roaming SMS" sheetId="6" r:id="rId6"/>
    <sheet name="Prem. &amp; Spec. Nos." sheetId="7" r:id="rId7"/>
    <sheet name="Domestic A2P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/>
  <c r="G20" i="1"/>
</calcChain>
</file>

<file path=xl/sharedStrings.xml><?xml version="1.0" encoding="utf-8"?>
<sst xmlns="http://schemas.openxmlformats.org/spreadsheetml/2006/main" count="459" uniqueCount="140">
  <si>
    <t>Voice</t>
  </si>
  <si>
    <t>Service Type</t>
  </si>
  <si>
    <t>Charge Type</t>
  </si>
  <si>
    <t>Country</t>
  </si>
  <si>
    <t>No. of Calls</t>
  </si>
  <si>
    <t>MOU</t>
  </si>
  <si>
    <t>Voice MO</t>
  </si>
  <si>
    <t>Australia</t>
  </si>
  <si>
    <t>Austria</t>
  </si>
  <si>
    <t>Bangladesh</t>
  </si>
  <si>
    <t>Brunei</t>
  </si>
  <si>
    <t>Cambodia</t>
  </si>
  <si>
    <t>Canada</t>
  </si>
  <si>
    <t>China</t>
  </si>
  <si>
    <t>France</t>
  </si>
  <si>
    <t>Germany</t>
  </si>
  <si>
    <t>HongKong</t>
  </si>
  <si>
    <t>Indonesia</t>
  </si>
  <si>
    <t>Iran</t>
  </si>
  <si>
    <t>Japan</t>
  </si>
  <si>
    <t>Korea</t>
  </si>
  <si>
    <t>Kuwait</t>
  </si>
  <si>
    <t>Montenegro</t>
  </si>
  <si>
    <t>Nepal</t>
  </si>
  <si>
    <t>Philippines</t>
  </si>
  <si>
    <t>Qatar</t>
  </si>
  <si>
    <t>SaudiArabia</t>
  </si>
  <si>
    <t>Singapore</t>
  </si>
  <si>
    <t>SouthAfrica</t>
  </si>
  <si>
    <t>Spain</t>
  </si>
  <si>
    <t>SRI LANKA</t>
  </si>
  <si>
    <t>Switzerland</t>
  </si>
  <si>
    <t>Taiwan</t>
  </si>
  <si>
    <t>Thailand</t>
  </si>
  <si>
    <t>UAE</t>
  </si>
  <si>
    <t>UK</t>
  </si>
  <si>
    <t>UNMAPPED</t>
  </si>
  <si>
    <t>Vitenam</t>
  </si>
  <si>
    <t>Count</t>
  </si>
  <si>
    <t>** Active subscriber = Number that have traffic of MO (Voice, SMS, Data) within the month</t>
  </si>
  <si>
    <t>Active Subscriber</t>
  </si>
  <si>
    <t>Total Active Subscriber Current</t>
  </si>
  <si>
    <t>127051</t>
  </si>
  <si>
    <t>SMS</t>
  </si>
  <si>
    <t>SMS Type</t>
  </si>
  <si>
    <t>No. of SMS</t>
  </si>
  <si>
    <t>MO</t>
  </si>
  <si>
    <t>On Net / Off Net</t>
  </si>
  <si>
    <t>157637</t>
  </si>
  <si>
    <t>Call Type</t>
  </si>
  <si>
    <t>MOU (min)</t>
  </si>
  <si>
    <t>On Net</t>
  </si>
  <si>
    <t>353403.13</t>
  </si>
  <si>
    <t>Off Net</t>
  </si>
  <si>
    <t>1312372.27</t>
  </si>
  <si>
    <t>Domestic Data</t>
  </si>
  <si>
    <t>Data Type</t>
  </si>
  <si>
    <t>Data</t>
  </si>
  <si>
    <t>Data MO</t>
  </si>
  <si>
    <t>4G</t>
  </si>
  <si>
    <t>4124516316.6</t>
  </si>
  <si>
    <t>5G</t>
  </si>
  <si>
    <t>1422787190.86</t>
  </si>
  <si>
    <t>SMS MO</t>
  </si>
  <si>
    <t>Albania</t>
  </si>
  <si>
    <t>Argentina</t>
  </si>
  <si>
    <t>Belgium</t>
  </si>
  <si>
    <t>Colombia</t>
  </si>
  <si>
    <t>Egypt</t>
  </si>
  <si>
    <t>Georgia</t>
  </si>
  <si>
    <t>Hungary</t>
  </si>
  <si>
    <t>Italy</t>
  </si>
  <si>
    <t>Jordan</t>
  </si>
  <si>
    <t>Kazakhstan</t>
  </si>
  <si>
    <t>Kenya</t>
  </si>
  <si>
    <t>Myanmar</t>
  </si>
  <si>
    <t>Netherlands</t>
  </si>
  <si>
    <t>Nigeria</t>
  </si>
  <si>
    <t>Romania</t>
  </si>
  <si>
    <t>Sweden</t>
  </si>
  <si>
    <t>Tajikistan</t>
  </si>
  <si>
    <t>Yemen</t>
  </si>
  <si>
    <t>Data Roaming</t>
  </si>
  <si>
    <t>Usage(Mbyte)</t>
  </si>
  <si>
    <t>Australia-Optus</t>
  </si>
  <si>
    <t>Bangladesh-Banglalink</t>
  </si>
  <si>
    <t>Brunei-UNN/DST/Progresif</t>
  </si>
  <si>
    <t>Cambodia-Cellcard/Mobitel</t>
  </si>
  <si>
    <t>China-ChinaMobile</t>
  </si>
  <si>
    <t>China-Unicom</t>
  </si>
  <si>
    <t>France-Free Mobile</t>
  </si>
  <si>
    <t>HongKong-H3G</t>
  </si>
  <si>
    <t>India-Reliance Jio</t>
  </si>
  <si>
    <t>Indonesia-Telkomsel</t>
  </si>
  <si>
    <t>Japan-Softbank</t>
  </si>
  <si>
    <t>Nepal-Nepal Telecom</t>
  </si>
  <si>
    <t>Pakistan-Telenor</t>
  </si>
  <si>
    <t>Philippines-Smart</t>
  </si>
  <si>
    <t>Saudi Arabia-Mobily</t>
  </si>
  <si>
    <t>Saudi Arabia-Zain / MTC</t>
  </si>
  <si>
    <t>Singapore-Simba</t>
  </si>
  <si>
    <t>Singapore-SingTel</t>
  </si>
  <si>
    <t>Singapore-Starhub</t>
  </si>
  <si>
    <t>Switzerland-Salt / Orange Communications SA</t>
  </si>
  <si>
    <t>Taiwan-Chunghwa</t>
  </si>
  <si>
    <t>Thailand-AIS</t>
  </si>
  <si>
    <t>Thailand-Truemove</t>
  </si>
  <si>
    <t>UAE-E&amp;</t>
  </si>
  <si>
    <t>UK-H3G</t>
  </si>
  <si>
    <t>Vietnam-Viettel</t>
  </si>
  <si>
    <t>Voice Roaming</t>
  </si>
  <si>
    <t>SMS Roaming</t>
  </si>
  <si>
    <t>Premium and Special Numbers</t>
  </si>
  <si>
    <t>1 MOCC - 03-8000 8000</t>
  </si>
  <si>
    <t>1300 Numbers</t>
  </si>
  <si>
    <t>1700 Numbers</t>
  </si>
  <si>
    <t>1800 Numbers</t>
  </si>
  <si>
    <t>Directory Assistance -Services 103</t>
  </si>
  <si>
    <t>Info Services - 100</t>
  </si>
  <si>
    <t>Info Services - 15454</t>
  </si>
  <si>
    <t>Info Services - 15300</t>
  </si>
  <si>
    <t>Info Services - 15353</t>
  </si>
  <si>
    <t>Info Services - 15404</t>
  </si>
  <si>
    <t>Info Services - 15444</t>
  </si>
  <si>
    <t>Info Services - 15777</t>
  </si>
  <si>
    <t>Info Services - 15555</t>
  </si>
  <si>
    <t>Info Services - 15999</t>
  </si>
  <si>
    <t>Info Services - 13504</t>
  </si>
  <si>
    <t>Info Services - 15511</t>
  </si>
  <si>
    <t>Info Services - 15800</t>
  </si>
  <si>
    <t>Info Services - 15995</t>
  </si>
  <si>
    <t>Domestic A2P SMS</t>
  </si>
  <si>
    <t>count from request logs</t>
  </si>
  <si>
    <t>India</t>
  </si>
  <si>
    <t>Usage (Mbyte) - Anchor, usage table</t>
  </si>
  <si>
    <t>Usage (Mbyte) - Anchor, request table</t>
  </si>
  <si>
    <t>Umobile count</t>
  </si>
  <si>
    <t>difference</t>
  </si>
  <si>
    <t>Non Profit A2P (22200,22288,22200EASTEL,601170337777)</t>
  </si>
  <si>
    <t>Non-Profit A2P SMS MT Bundled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</si>
</sst>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Aptos"/>
      <family val="2"/>
    </font>
    <font>
      <sz val="10"/>
      <color theme="1"/>
      <name val="Aptos"/>
      <family val="2"/>
    </font>
    <font>
      <strike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20">
    <xf numFmtId="0" fontId="0" fillId="0" borderId="0" xfId="0"/>
    <xf numFmtId="0" fontId="2" fillId="0" borderId="0" xfId="0" applyFont="1"/>
    <xf numFmtId="43" fontId="0" fillId="0" borderId="0" xfId="1" applyFont="1"/>
    <xf numFmtId="164" fontId="0" fillId="0" borderId="0" xfId="1" applyNumberFormat="1" applyFont="1"/>
    <xf numFmtId="0" fontId="2" fillId="2" borderId="0" xfId="0" applyFont="1" applyFill="1"/>
    <xf numFmtId="0" fontId="3" fillId="0" borderId="0" xfId="0" applyFont="1"/>
    <xf numFmtId="164" fontId="2" fillId="2" borderId="0" xfId="1" applyNumberFormat="1" applyFont="1" applyFill="1" applyAlignment="1">
      <alignment horizontal="center"/>
    </xf>
    <xf numFmtId="0" fontId="4" fillId="2" borderId="0" xfId="0" applyFont="1" applyFill="1"/>
    <xf numFmtId="0" fontId="4" fillId="2" borderId="0" xfId="0" applyFont="1" applyFill="1" applyAlignment="1">
      <alignment horizontal="center"/>
    </xf>
    <xf numFmtId="164" fontId="4" fillId="2" borderId="0" xfId="1" applyNumberFormat="1" applyFont="1" applyFill="1"/>
    <xf numFmtId="0" fontId="4" fillId="0" borderId="0" xfId="0" applyFont="1"/>
    <xf numFmtId="0" fontId="5" fillId="0" borderId="0" xfId="0" applyFont="1"/>
    <xf numFmtId="164" fontId="5" fillId="0" borderId="0" xfId="1" applyNumberFormat="1" applyFont="1"/>
    <xf numFmtId="164" fontId="4" fillId="2" borderId="0" xfId="1" applyNumberFormat="1" applyFont="1" applyFill="1" applyAlignment="1">
      <alignment horizontal="center"/>
    </xf>
    <xf numFmtId="0" fontId="1" fillId="0" borderId="0" xfId="0" applyFont="1"/>
    <xf numFmtId="0" fontId="6" fillId="0" borderId="0" xfId="0" applyFont="1"/>
    <xf numFmtId="0" fontId="0" fillId="3" borderId="0" xfId="0" applyFill="1"/>
    <xf numFmtId="164" fontId="0" fillId="3" borderId="0" xfId="1" applyNumberFormat="1" applyFont="1" applyFill="1"/>
    <xf numFmtId="43" fontId="1" fillId="0" borderId="0" xfId="1"/>
    <xf numFmtId="164" fontId="1" fillId="0" borderId="0" xfId="1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tabSelected="1" workbookViewId="0">
      <selection activeCell="E24" sqref="E24"/>
    </sheetView>
  </sheetViews>
  <sheetFormatPr defaultRowHeight="14.4" x14ac:dyDescent="0.3"/>
  <cols>
    <col min="1" max="1" width="23.5546875" customWidth="1"/>
    <col min="2" max="2" width="32.6640625" customWidth="1"/>
    <col min="3" max="3" width="16.88671875" customWidth="1"/>
    <col min="4" max="4" width="30.44140625" customWidth="1"/>
    <col min="5" max="5" width="33.44140625" customWidth="1"/>
    <col min="6" max="6" width="18.88671875" customWidth="1"/>
    <col min="7" max="7" width="12.21875" customWidth="1"/>
  </cols>
  <sheetData>
    <row r="1" spans="1:5" x14ac:dyDescent="0.3">
      <c r="A1" s="4" t="s">
        <v>1</v>
      </c>
      <c r="B1" s="4" t="s">
        <v>2</v>
      </c>
      <c r="C1" s="4" t="s">
        <v>38</v>
      </c>
      <c r="D1" s="4" t="s">
        <v>132</v>
      </c>
      <c r="E1" s="5" t="s">
        <v>39</v>
      </c>
    </row>
    <row r="2" spans="1:5" x14ac:dyDescent="0.3">
      <c r="A2" t="s">
        <v>40</v>
      </c>
      <c r="B2" t="s">
        <v>41</v>
      </c>
      <c r="C2" s="18" t="s">
        <v>42</v>
      </c>
      <c r="D2" s="19">
        <v>131792</v>
      </c>
      <c r="E2" s="5"/>
    </row>
    <row r="5" spans="1:5" x14ac:dyDescent="0.3">
      <c r="A5" s="1" t="s">
        <v>43</v>
      </c>
    </row>
    <row r="6" spans="1:5" x14ac:dyDescent="0.3">
      <c r="A6" s="4" t="s">
        <v>1</v>
      </c>
      <c r="B6" s="4" t="s">
        <v>2</v>
      </c>
      <c r="C6" s="4" t="s">
        <v>44</v>
      </c>
      <c r="D6" s="4" t="s">
        <v>45</v>
      </c>
    </row>
    <row r="7" spans="1:5" x14ac:dyDescent="0.3">
      <c r="A7" t="s">
        <v>43</v>
      </c>
      <c r="B7" t="s">
        <v>46</v>
      </c>
      <c r="C7" t="s">
        <v>47</v>
      </c>
      <c r="D7" t="s">
        <v>48</v>
      </c>
    </row>
    <row r="10" spans="1:5" x14ac:dyDescent="0.3">
      <c r="A10" s="1" t="s">
        <v>0</v>
      </c>
    </row>
    <row r="11" spans="1:5" x14ac:dyDescent="0.3">
      <c r="A11" s="4" t="s">
        <v>1</v>
      </c>
      <c r="B11" s="4" t="s">
        <v>2</v>
      </c>
      <c r="C11" s="4" t="s">
        <v>49</v>
      </c>
      <c r="D11" s="4" t="s">
        <v>50</v>
      </c>
    </row>
    <row r="12" spans="1:5" x14ac:dyDescent="0.3">
      <c r="A12" t="s">
        <v>0</v>
      </c>
      <c r="B12" t="s">
        <v>46</v>
      </c>
      <c r="C12" t="s">
        <v>51</v>
      </c>
      <c r="D12" t="s">
        <v>52</v>
      </c>
    </row>
    <row r="13" spans="1:5" x14ac:dyDescent="0.3">
      <c r="A13" t="s">
        <v>0</v>
      </c>
      <c r="B13" t="s">
        <v>46</v>
      </c>
      <c r="C13" t="s">
        <v>53</v>
      </c>
      <c r="D13" t="s">
        <v>54</v>
      </c>
    </row>
    <row r="14" spans="1:5" x14ac:dyDescent="0.3">
      <c r="D14" s="2"/>
    </row>
    <row r="17" spans="1:7" x14ac:dyDescent="0.3">
      <c r="A17" s="1" t="s">
        <v>55</v>
      </c>
    </row>
    <row r="18" spans="1:7" x14ac:dyDescent="0.3">
      <c r="A18" s="4" t="s">
        <v>1</v>
      </c>
      <c r="B18" s="4" t="s">
        <v>2</v>
      </c>
      <c r="C18" s="4" t="s">
        <v>56</v>
      </c>
      <c r="D18" s="4" t="s">
        <v>134</v>
      </c>
      <c r="E18" s="4" t="s">
        <v>135</v>
      </c>
      <c r="F18" s="4" t="s">
        <v>136</v>
      </c>
      <c r="G18" s="4" t="s">
        <v>137</v>
      </c>
    </row>
    <row r="19" spans="1:7" x14ac:dyDescent="0.3">
      <c r="A19" t="s">
        <v>57</v>
      </c>
      <c r="B19" t="s">
        <v>58</v>
      </c>
      <c r="C19" t="s">
        <v>59</v>
      </c>
      <c r="D19" t="s">
        <v>60</v>
      </c>
      <c r="E19" s="19">
        <v>3832379044.4000001</v>
      </c>
      <c r="F19" s="19">
        <v>3898483931</v>
      </c>
      <c r="G19">
        <f>(F19-E19)/F19*100</f>
        <v>1.6956562543286753</v>
      </c>
    </row>
    <row r="20" spans="1:7" x14ac:dyDescent="0.3">
      <c r="A20" t="s">
        <v>57</v>
      </c>
      <c r="B20" t="s">
        <v>58</v>
      </c>
      <c r="C20" t="s">
        <v>61</v>
      </c>
      <c r="D20" t="s">
        <v>62</v>
      </c>
      <c r="E20" s="19">
        <v>1784662732.1099999</v>
      </c>
      <c r="F20" s="19">
        <v>1929537440</v>
      </c>
      <c r="G20">
        <f>(F20-E20)/F20*100</f>
        <v>7.5082610415686011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3"/>
  <sheetViews>
    <sheetView topLeftCell="A13" workbookViewId="0">
      <selection activeCell="C6" sqref="C6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4" x14ac:dyDescent="0.3">
      <c r="A1" s="1" t="s">
        <v>43</v>
      </c>
    </row>
    <row r="2" spans="1:4" x14ac:dyDescent="0.3">
      <c r="A2" s="4" t="s">
        <v>1</v>
      </c>
      <c r="B2" s="4" t="s">
        <v>2</v>
      </c>
      <c r="C2" s="4" t="s">
        <v>3</v>
      </c>
      <c r="D2" s="6" t="s">
        <v>45</v>
      </c>
    </row>
    <row r="3" spans="1:4" x14ac:dyDescent="0.3">
      <c r="A3" s="14" t="s">
        <v>43</v>
      </c>
      <c r="B3" s="14" t="s">
        <v>63</v>
      </c>
      <c r="C3" s="14" t="s">
        <v>64</v>
      </c>
      <c r="D3" s="14">
        <v>3</v>
      </c>
    </row>
    <row r="4" spans="1:4" x14ac:dyDescent="0.3">
      <c r="A4" s="14" t="s">
        <v>43</v>
      </c>
      <c r="B4" s="14" t="s">
        <v>63</v>
      </c>
      <c r="C4" s="14" t="s">
        <v>65</v>
      </c>
      <c r="D4" s="14">
        <v>1</v>
      </c>
    </row>
    <row r="5" spans="1:4" x14ac:dyDescent="0.3">
      <c r="A5" s="14" t="s">
        <v>43</v>
      </c>
      <c r="B5" s="14" t="s">
        <v>63</v>
      </c>
      <c r="C5" s="14" t="s">
        <v>7</v>
      </c>
      <c r="D5" s="14">
        <v>21</v>
      </c>
    </row>
    <row r="6" spans="1:4" x14ac:dyDescent="0.3">
      <c r="A6" s="14" t="s">
        <v>43</v>
      </c>
      <c r="B6" s="14" t="s">
        <v>63</v>
      </c>
      <c r="C6" s="14" t="s">
        <v>9</v>
      </c>
      <c r="D6" s="14">
        <v>167</v>
      </c>
    </row>
    <row r="7" spans="1:4" x14ac:dyDescent="0.3">
      <c r="A7" s="14" t="s">
        <v>43</v>
      </c>
      <c r="B7" s="14" t="s">
        <v>63</v>
      </c>
      <c r="C7" s="14" t="s">
        <v>66</v>
      </c>
      <c r="D7" s="14">
        <v>1</v>
      </c>
    </row>
    <row r="8" spans="1:4" x14ac:dyDescent="0.3">
      <c r="A8" s="14" t="s">
        <v>43</v>
      </c>
      <c r="B8" s="14" t="s">
        <v>63</v>
      </c>
      <c r="C8" s="14" t="s">
        <v>10</v>
      </c>
      <c r="D8" s="14">
        <v>1</v>
      </c>
    </row>
    <row r="9" spans="1:4" x14ac:dyDescent="0.3">
      <c r="A9" s="14" t="s">
        <v>43</v>
      </c>
      <c r="B9" s="14" t="s">
        <v>63</v>
      </c>
      <c r="C9" s="14" t="s">
        <v>11</v>
      </c>
      <c r="D9" s="14">
        <v>3</v>
      </c>
    </row>
    <row r="10" spans="1:4" x14ac:dyDescent="0.3">
      <c r="A10" s="14" t="s">
        <v>43</v>
      </c>
      <c r="B10" s="14" t="s">
        <v>63</v>
      </c>
      <c r="C10" s="14" t="s">
        <v>12</v>
      </c>
      <c r="D10" s="14">
        <v>33</v>
      </c>
    </row>
    <row r="11" spans="1:4" x14ac:dyDescent="0.3">
      <c r="A11" s="14" t="s">
        <v>43</v>
      </c>
      <c r="B11" s="14" t="s">
        <v>63</v>
      </c>
      <c r="C11" s="14" t="s">
        <v>13</v>
      </c>
      <c r="D11" s="14">
        <v>68</v>
      </c>
    </row>
    <row r="12" spans="1:4" x14ac:dyDescent="0.3">
      <c r="A12" s="14" t="s">
        <v>43</v>
      </c>
      <c r="B12" s="14" t="s">
        <v>63</v>
      </c>
      <c r="C12" s="14" t="s">
        <v>67</v>
      </c>
      <c r="D12" s="14">
        <v>1</v>
      </c>
    </row>
    <row r="13" spans="1:4" x14ac:dyDescent="0.3">
      <c r="A13" s="14" t="s">
        <v>43</v>
      </c>
      <c r="B13" s="14" t="s">
        <v>63</v>
      </c>
      <c r="C13" s="14" t="s">
        <v>68</v>
      </c>
      <c r="D13" s="14">
        <v>5</v>
      </c>
    </row>
    <row r="14" spans="1:4" x14ac:dyDescent="0.3">
      <c r="A14" s="14" t="s">
        <v>43</v>
      </c>
      <c r="B14" s="14" t="s">
        <v>63</v>
      </c>
      <c r="C14" s="14" t="s">
        <v>14</v>
      </c>
      <c r="D14" s="14">
        <v>16</v>
      </c>
    </row>
    <row r="15" spans="1:4" x14ac:dyDescent="0.3">
      <c r="A15" s="14" t="s">
        <v>43</v>
      </c>
      <c r="B15" s="14" t="s">
        <v>63</v>
      </c>
      <c r="C15" s="14" t="s">
        <v>69</v>
      </c>
      <c r="D15" s="14">
        <v>1</v>
      </c>
    </row>
    <row r="16" spans="1:4" x14ac:dyDescent="0.3">
      <c r="A16" s="14" t="s">
        <v>43</v>
      </c>
      <c r="B16" s="14" t="s">
        <v>63</v>
      </c>
      <c r="C16" s="14" t="s">
        <v>15</v>
      </c>
      <c r="D16" s="14">
        <v>2</v>
      </c>
    </row>
    <row r="17" spans="1:4" x14ac:dyDescent="0.3">
      <c r="A17" s="14" t="s">
        <v>43</v>
      </c>
      <c r="B17" s="14" t="s">
        <v>63</v>
      </c>
      <c r="C17" s="14" t="s">
        <v>16</v>
      </c>
      <c r="D17" s="14">
        <v>13</v>
      </c>
    </row>
    <row r="18" spans="1:4" x14ac:dyDescent="0.3">
      <c r="A18" s="14" t="s">
        <v>43</v>
      </c>
      <c r="B18" s="14" t="s">
        <v>63</v>
      </c>
      <c r="C18" s="14" t="s">
        <v>70</v>
      </c>
      <c r="D18" s="14">
        <v>1</v>
      </c>
    </row>
    <row r="19" spans="1:4" x14ac:dyDescent="0.3">
      <c r="A19" s="14" t="s">
        <v>43</v>
      </c>
      <c r="B19" s="14" t="s">
        <v>63</v>
      </c>
      <c r="C19" s="14" t="s">
        <v>17</v>
      </c>
      <c r="D19" s="14">
        <v>239</v>
      </c>
    </row>
    <row r="20" spans="1:4" x14ac:dyDescent="0.3">
      <c r="A20" s="14" t="s">
        <v>43</v>
      </c>
      <c r="B20" s="14" t="s">
        <v>63</v>
      </c>
      <c r="C20" s="14" t="s">
        <v>18</v>
      </c>
      <c r="D20" s="14">
        <v>3</v>
      </c>
    </row>
    <row r="21" spans="1:4" x14ac:dyDescent="0.3">
      <c r="A21" s="14" t="s">
        <v>43</v>
      </c>
      <c r="B21" s="14" t="s">
        <v>63</v>
      </c>
      <c r="C21" s="14" t="s">
        <v>71</v>
      </c>
      <c r="D21" s="14">
        <v>3</v>
      </c>
    </row>
    <row r="22" spans="1:4" x14ac:dyDescent="0.3">
      <c r="A22" s="14" t="s">
        <v>43</v>
      </c>
      <c r="B22" s="14" t="s">
        <v>63</v>
      </c>
      <c r="C22" s="14" t="s">
        <v>19</v>
      </c>
      <c r="D22" s="14">
        <v>2</v>
      </c>
    </row>
    <row r="23" spans="1:4" x14ac:dyDescent="0.3">
      <c r="A23" s="14" t="s">
        <v>43</v>
      </c>
      <c r="B23" s="14" t="s">
        <v>63</v>
      </c>
      <c r="C23" s="14" t="s">
        <v>72</v>
      </c>
      <c r="D23" s="14">
        <v>1</v>
      </c>
    </row>
    <row r="24" spans="1:4" x14ac:dyDescent="0.3">
      <c r="A24" s="14" t="s">
        <v>43</v>
      </c>
      <c r="B24" s="14" t="s">
        <v>63</v>
      </c>
      <c r="C24" s="14" t="s">
        <v>73</v>
      </c>
      <c r="D24" s="14">
        <v>6</v>
      </c>
    </row>
    <row r="25" spans="1:4" x14ac:dyDescent="0.3">
      <c r="A25" s="14" t="s">
        <v>43</v>
      </c>
      <c r="B25" s="14" t="s">
        <v>63</v>
      </c>
      <c r="C25" s="14" t="s">
        <v>74</v>
      </c>
      <c r="D25" s="14">
        <v>1</v>
      </c>
    </row>
    <row r="26" spans="1:4" x14ac:dyDescent="0.3">
      <c r="A26" s="14" t="s">
        <v>43</v>
      </c>
      <c r="B26" s="14" t="s">
        <v>63</v>
      </c>
      <c r="C26" s="14" t="s">
        <v>75</v>
      </c>
      <c r="D26" s="14">
        <v>24</v>
      </c>
    </row>
    <row r="27" spans="1:4" x14ac:dyDescent="0.3">
      <c r="A27" s="14" t="s">
        <v>43</v>
      </c>
      <c r="B27" s="14" t="s">
        <v>63</v>
      </c>
      <c r="C27" s="14" t="s">
        <v>23</v>
      </c>
      <c r="D27" s="14">
        <v>71</v>
      </c>
    </row>
    <row r="28" spans="1:4" x14ac:dyDescent="0.3">
      <c r="A28" s="14" t="s">
        <v>43</v>
      </c>
      <c r="B28" s="14" t="s">
        <v>63</v>
      </c>
      <c r="C28" s="14" t="s">
        <v>76</v>
      </c>
      <c r="D28" s="14">
        <v>5</v>
      </c>
    </row>
    <row r="29" spans="1:4" x14ac:dyDescent="0.3">
      <c r="A29" s="14" t="s">
        <v>43</v>
      </c>
      <c r="B29" s="14" t="s">
        <v>63</v>
      </c>
      <c r="C29" s="14" t="s">
        <v>77</v>
      </c>
      <c r="D29" s="14">
        <v>2</v>
      </c>
    </row>
    <row r="30" spans="1:4" x14ac:dyDescent="0.3">
      <c r="A30" s="14" t="s">
        <v>43</v>
      </c>
      <c r="B30" s="14" t="s">
        <v>63</v>
      </c>
      <c r="C30" s="14" t="s">
        <v>24</v>
      </c>
      <c r="D30" s="14">
        <v>10</v>
      </c>
    </row>
    <row r="31" spans="1:4" x14ac:dyDescent="0.3">
      <c r="A31" s="14" t="s">
        <v>43</v>
      </c>
      <c r="B31" s="14" t="s">
        <v>63</v>
      </c>
      <c r="C31" s="14" t="s">
        <v>25</v>
      </c>
      <c r="D31" s="14">
        <v>1</v>
      </c>
    </row>
    <row r="32" spans="1:4" x14ac:dyDescent="0.3">
      <c r="A32" s="14" t="s">
        <v>43</v>
      </c>
      <c r="B32" s="14" t="s">
        <v>63</v>
      </c>
      <c r="C32" s="14" t="s">
        <v>78</v>
      </c>
      <c r="D32" s="14">
        <v>2</v>
      </c>
    </row>
    <row r="33" spans="1:4" x14ac:dyDescent="0.3">
      <c r="A33" s="14" t="s">
        <v>43</v>
      </c>
      <c r="B33" s="14" t="s">
        <v>63</v>
      </c>
      <c r="C33" s="14" t="s">
        <v>26</v>
      </c>
      <c r="D33" s="14">
        <v>2</v>
      </c>
    </row>
    <row r="34" spans="1:4" x14ac:dyDescent="0.3">
      <c r="A34" s="14" t="s">
        <v>43</v>
      </c>
      <c r="B34" s="14" t="s">
        <v>63</v>
      </c>
      <c r="C34" s="14" t="s">
        <v>27</v>
      </c>
      <c r="D34" s="14">
        <v>616</v>
      </c>
    </row>
    <row r="35" spans="1:4" x14ac:dyDescent="0.3">
      <c r="A35" s="14" t="s">
        <v>43</v>
      </c>
      <c r="B35" s="14" t="s">
        <v>63</v>
      </c>
      <c r="C35" s="14" t="s">
        <v>30</v>
      </c>
      <c r="D35" s="14">
        <v>1</v>
      </c>
    </row>
    <row r="36" spans="1:4" x14ac:dyDescent="0.3">
      <c r="A36" s="14" t="s">
        <v>43</v>
      </c>
      <c r="B36" s="14" t="s">
        <v>63</v>
      </c>
      <c r="C36" s="14" t="s">
        <v>79</v>
      </c>
      <c r="D36" s="14">
        <v>1</v>
      </c>
    </row>
    <row r="37" spans="1:4" x14ac:dyDescent="0.3">
      <c r="A37" s="14" t="s">
        <v>43</v>
      </c>
      <c r="B37" s="14" t="s">
        <v>63</v>
      </c>
      <c r="C37" s="14" t="s">
        <v>32</v>
      </c>
      <c r="D37" s="14">
        <v>6</v>
      </c>
    </row>
    <row r="38" spans="1:4" x14ac:dyDescent="0.3">
      <c r="A38" s="14" t="s">
        <v>43</v>
      </c>
      <c r="B38" s="14" t="s">
        <v>63</v>
      </c>
      <c r="C38" s="14" t="s">
        <v>80</v>
      </c>
      <c r="D38" s="14">
        <v>1</v>
      </c>
    </row>
    <row r="39" spans="1:4" x14ac:dyDescent="0.3">
      <c r="A39" s="14" t="s">
        <v>43</v>
      </c>
      <c r="B39" s="14" t="s">
        <v>63</v>
      </c>
      <c r="C39" s="14" t="s">
        <v>34</v>
      </c>
      <c r="D39" s="14">
        <v>2</v>
      </c>
    </row>
    <row r="40" spans="1:4" x14ac:dyDescent="0.3">
      <c r="A40" s="14" t="s">
        <v>43</v>
      </c>
      <c r="B40" s="14" t="s">
        <v>63</v>
      </c>
      <c r="C40" s="14" t="s">
        <v>35</v>
      </c>
      <c r="D40" s="14">
        <v>57060</v>
      </c>
    </row>
    <row r="41" spans="1:4" x14ac:dyDescent="0.3">
      <c r="A41" s="14" t="s">
        <v>43</v>
      </c>
      <c r="B41" s="14" t="s">
        <v>63</v>
      </c>
      <c r="C41" s="14" t="s">
        <v>36</v>
      </c>
      <c r="D41" s="14">
        <v>49</v>
      </c>
    </row>
    <row r="42" spans="1:4" x14ac:dyDescent="0.3">
      <c r="A42" s="14" t="s">
        <v>43</v>
      </c>
      <c r="B42" s="14" t="s">
        <v>63</v>
      </c>
      <c r="C42" s="14" t="s">
        <v>37</v>
      </c>
      <c r="D42" s="14">
        <v>53</v>
      </c>
    </row>
    <row r="43" spans="1:4" x14ac:dyDescent="0.3">
      <c r="A43" s="14" t="s">
        <v>43</v>
      </c>
      <c r="B43" s="14" t="s">
        <v>63</v>
      </c>
      <c r="C43" s="14" t="s">
        <v>81</v>
      </c>
      <c r="D43" s="14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34"/>
  <sheetViews>
    <sheetView topLeftCell="A7" workbookViewId="0">
      <selection activeCell="C34" sqref="C34"/>
    </sheetView>
  </sheetViews>
  <sheetFormatPr defaultRowHeight="14.4" x14ac:dyDescent="0.3"/>
  <cols>
    <col min="1" max="1" width="23.109375" customWidth="1"/>
    <col min="2" max="2" width="26.44140625" bestFit="1" customWidth="1"/>
    <col min="3" max="3" width="27.21875" customWidth="1"/>
    <col min="4" max="4" width="18.109375" style="3" customWidth="1"/>
    <col min="5" max="5" width="14.33203125" customWidth="1"/>
    <col min="6" max="6" width="14.88671875" customWidth="1"/>
  </cols>
  <sheetData>
    <row r="1" spans="1:5" x14ac:dyDescent="0.3">
      <c r="A1" s="1" t="s">
        <v>0</v>
      </c>
    </row>
    <row r="2" spans="1:5" x14ac:dyDescent="0.3">
      <c r="A2" s="4" t="s">
        <v>1</v>
      </c>
      <c r="B2" s="4" t="s">
        <v>2</v>
      </c>
      <c r="C2" s="4" t="s">
        <v>3</v>
      </c>
      <c r="D2" s="6" t="s">
        <v>4</v>
      </c>
      <c r="E2" s="4" t="s">
        <v>5</v>
      </c>
    </row>
    <row r="3" spans="1:5" x14ac:dyDescent="0.3">
      <c r="A3" s="14" t="s">
        <v>0</v>
      </c>
      <c r="B3" s="14" t="s">
        <v>6</v>
      </c>
      <c r="C3" s="14" t="s">
        <v>7</v>
      </c>
      <c r="D3" s="14">
        <v>16</v>
      </c>
      <c r="E3" s="14">
        <v>5.9</v>
      </c>
    </row>
    <row r="4" spans="1:5" x14ac:dyDescent="0.3">
      <c r="A4" s="14" t="s">
        <v>0</v>
      </c>
      <c r="B4" s="14" t="s">
        <v>6</v>
      </c>
      <c r="C4" s="14" t="s">
        <v>8</v>
      </c>
      <c r="D4" s="14">
        <v>6</v>
      </c>
      <c r="E4" s="14">
        <v>0.47</v>
      </c>
    </row>
    <row r="5" spans="1:5" x14ac:dyDescent="0.3">
      <c r="A5" s="14" t="s">
        <v>0</v>
      </c>
      <c r="B5" s="14" t="s">
        <v>6</v>
      </c>
      <c r="C5" s="14" t="s">
        <v>9</v>
      </c>
      <c r="D5" s="14">
        <v>8877</v>
      </c>
      <c r="E5" s="14">
        <v>25524.73</v>
      </c>
    </row>
    <row r="6" spans="1:5" x14ac:dyDescent="0.3">
      <c r="A6" s="14" t="s">
        <v>0</v>
      </c>
      <c r="B6" s="14" t="s">
        <v>6</v>
      </c>
      <c r="C6" s="14" t="s">
        <v>10</v>
      </c>
      <c r="D6" s="14">
        <v>7</v>
      </c>
      <c r="E6" s="14">
        <v>20.8</v>
      </c>
    </row>
    <row r="7" spans="1:5" x14ac:dyDescent="0.3">
      <c r="A7" s="14" t="s">
        <v>0</v>
      </c>
      <c r="B7" s="14" t="s">
        <v>6</v>
      </c>
      <c r="C7" s="14" t="s">
        <v>11</v>
      </c>
      <c r="D7" s="14">
        <v>7</v>
      </c>
      <c r="E7" s="14">
        <v>38.75</v>
      </c>
    </row>
    <row r="8" spans="1:5" x14ac:dyDescent="0.3">
      <c r="A8" s="14" t="s">
        <v>0</v>
      </c>
      <c r="B8" s="14" t="s">
        <v>6</v>
      </c>
      <c r="C8" s="14" t="s">
        <v>12</v>
      </c>
      <c r="D8" s="14">
        <v>21</v>
      </c>
      <c r="E8" s="14">
        <v>38.020000000000003</v>
      </c>
    </row>
    <row r="9" spans="1:5" x14ac:dyDescent="0.3">
      <c r="A9" s="14" t="s">
        <v>0</v>
      </c>
      <c r="B9" s="14" t="s">
        <v>6</v>
      </c>
      <c r="C9" s="14" t="s">
        <v>13</v>
      </c>
      <c r="D9" s="14">
        <v>129</v>
      </c>
      <c r="E9" s="14">
        <v>232.52</v>
      </c>
    </row>
    <row r="10" spans="1:5" x14ac:dyDescent="0.3">
      <c r="A10" s="14" t="s">
        <v>0</v>
      </c>
      <c r="B10" s="14" t="s">
        <v>6</v>
      </c>
      <c r="C10" s="14" t="s">
        <v>14</v>
      </c>
      <c r="D10" s="14">
        <v>3</v>
      </c>
      <c r="E10" s="14">
        <v>1.47</v>
      </c>
    </row>
    <row r="11" spans="1:5" x14ac:dyDescent="0.3">
      <c r="A11" s="14" t="s">
        <v>0</v>
      </c>
      <c r="B11" s="14" t="s">
        <v>6</v>
      </c>
      <c r="C11" s="14" t="s">
        <v>15</v>
      </c>
      <c r="D11" s="14">
        <v>1</v>
      </c>
      <c r="E11" s="14">
        <v>7.0000000000000007E-2</v>
      </c>
    </row>
    <row r="12" spans="1:5" x14ac:dyDescent="0.3">
      <c r="A12" s="14" t="s">
        <v>0</v>
      </c>
      <c r="B12" s="14" t="s">
        <v>6</v>
      </c>
      <c r="C12" s="14" t="s">
        <v>16</v>
      </c>
      <c r="D12" s="14">
        <v>5</v>
      </c>
      <c r="E12" s="14">
        <v>3.92</v>
      </c>
    </row>
    <row r="13" spans="1:5" x14ac:dyDescent="0.3">
      <c r="A13" s="14" t="s">
        <v>0</v>
      </c>
      <c r="B13" s="14" t="s">
        <v>6</v>
      </c>
      <c r="C13" s="14" t="s">
        <v>17</v>
      </c>
      <c r="D13" s="14">
        <v>762</v>
      </c>
      <c r="E13" s="14">
        <v>1576.95</v>
      </c>
    </row>
    <row r="14" spans="1:5" x14ac:dyDescent="0.3">
      <c r="A14" s="14" t="s">
        <v>0</v>
      </c>
      <c r="B14" s="14" t="s">
        <v>6</v>
      </c>
      <c r="C14" s="14" t="s">
        <v>18</v>
      </c>
      <c r="D14" s="14">
        <v>1</v>
      </c>
      <c r="E14" s="14">
        <v>0.13</v>
      </c>
    </row>
    <row r="15" spans="1:5" x14ac:dyDescent="0.3">
      <c r="A15" s="14" t="s">
        <v>0</v>
      </c>
      <c r="B15" s="14" t="s">
        <v>6</v>
      </c>
      <c r="C15" s="14" t="s">
        <v>19</v>
      </c>
      <c r="D15" s="14">
        <v>4</v>
      </c>
      <c r="E15" s="14">
        <v>18.53</v>
      </c>
    </row>
    <row r="16" spans="1:5" x14ac:dyDescent="0.3">
      <c r="A16" s="14" t="s">
        <v>0</v>
      </c>
      <c r="B16" s="14" t="s">
        <v>6</v>
      </c>
      <c r="C16" s="14" t="s">
        <v>20</v>
      </c>
      <c r="D16" s="14">
        <v>1</v>
      </c>
      <c r="E16" s="14">
        <v>0.02</v>
      </c>
    </row>
    <row r="17" spans="1:5" x14ac:dyDescent="0.3">
      <c r="A17" s="14" t="s">
        <v>0</v>
      </c>
      <c r="B17" s="14" t="s">
        <v>6</v>
      </c>
      <c r="C17" s="14" t="s">
        <v>21</v>
      </c>
      <c r="D17" s="14">
        <v>1</v>
      </c>
      <c r="E17" s="14">
        <v>0.18</v>
      </c>
    </row>
    <row r="18" spans="1:5" x14ac:dyDescent="0.3">
      <c r="A18" s="14" t="s">
        <v>0</v>
      </c>
      <c r="B18" s="14" t="s">
        <v>6</v>
      </c>
      <c r="C18" s="14" t="s">
        <v>22</v>
      </c>
      <c r="D18" s="14">
        <v>1</v>
      </c>
      <c r="E18" s="14">
        <v>3.65</v>
      </c>
    </row>
    <row r="19" spans="1:5" x14ac:dyDescent="0.3">
      <c r="A19" s="14" t="s">
        <v>0</v>
      </c>
      <c r="B19" s="14" t="s">
        <v>6</v>
      </c>
      <c r="C19" s="14" t="s">
        <v>23</v>
      </c>
      <c r="D19" s="14">
        <v>1002</v>
      </c>
      <c r="E19" s="14">
        <v>979.78</v>
      </c>
    </row>
    <row r="20" spans="1:5" x14ac:dyDescent="0.3">
      <c r="A20" s="14" t="s">
        <v>0</v>
      </c>
      <c r="B20" s="14" t="s">
        <v>6</v>
      </c>
      <c r="C20" s="14" t="s">
        <v>24</v>
      </c>
      <c r="D20" s="14">
        <v>13</v>
      </c>
      <c r="E20" s="14">
        <v>16.28</v>
      </c>
    </row>
    <row r="21" spans="1:5" x14ac:dyDescent="0.3">
      <c r="A21" s="14" t="s">
        <v>0</v>
      </c>
      <c r="B21" s="14" t="s">
        <v>6</v>
      </c>
      <c r="C21" s="14" t="s">
        <v>25</v>
      </c>
      <c r="D21" s="14">
        <v>2</v>
      </c>
      <c r="E21" s="14">
        <v>0.53</v>
      </c>
    </row>
    <row r="22" spans="1:5" x14ac:dyDescent="0.3">
      <c r="A22" s="14" t="s">
        <v>0</v>
      </c>
      <c r="B22" s="14" t="s">
        <v>6</v>
      </c>
      <c r="C22" s="14" t="s">
        <v>26</v>
      </c>
      <c r="D22" s="14">
        <v>8</v>
      </c>
      <c r="E22" s="14">
        <v>2.92</v>
      </c>
    </row>
    <row r="23" spans="1:5" x14ac:dyDescent="0.3">
      <c r="A23" s="14" t="s">
        <v>0</v>
      </c>
      <c r="B23" s="14" t="s">
        <v>6</v>
      </c>
      <c r="C23" s="14" t="s">
        <v>27</v>
      </c>
      <c r="D23" s="14">
        <v>132</v>
      </c>
      <c r="E23" s="14">
        <v>323.82</v>
      </c>
    </row>
    <row r="24" spans="1:5" x14ac:dyDescent="0.3">
      <c r="A24" s="14" t="s">
        <v>0</v>
      </c>
      <c r="B24" s="14" t="s">
        <v>6</v>
      </c>
      <c r="C24" s="14" t="s">
        <v>28</v>
      </c>
      <c r="D24" s="14">
        <v>1</v>
      </c>
      <c r="E24" s="14">
        <v>0.28000000000000003</v>
      </c>
    </row>
    <row r="25" spans="1:5" x14ac:dyDescent="0.3">
      <c r="A25" s="14" t="s">
        <v>0</v>
      </c>
      <c r="B25" s="14" t="s">
        <v>6</v>
      </c>
      <c r="C25" s="14" t="s">
        <v>29</v>
      </c>
      <c r="D25" s="14">
        <v>1</v>
      </c>
      <c r="E25" s="14">
        <v>0.25</v>
      </c>
    </row>
    <row r="26" spans="1:5" x14ac:dyDescent="0.3">
      <c r="A26" s="14" t="s">
        <v>0</v>
      </c>
      <c r="B26" s="14" t="s">
        <v>6</v>
      </c>
      <c r="C26" s="14" t="s">
        <v>30</v>
      </c>
      <c r="D26" s="14">
        <v>17</v>
      </c>
      <c r="E26" s="14">
        <v>67.599999999999994</v>
      </c>
    </row>
    <row r="27" spans="1:5" x14ac:dyDescent="0.3">
      <c r="A27" s="14" t="s">
        <v>0</v>
      </c>
      <c r="B27" s="14" t="s">
        <v>6</v>
      </c>
      <c r="C27" s="14" t="s">
        <v>31</v>
      </c>
      <c r="D27" s="14">
        <v>1</v>
      </c>
      <c r="E27" s="14">
        <v>0.02</v>
      </c>
    </row>
    <row r="28" spans="1:5" x14ac:dyDescent="0.3">
      <c r="A28" s="14" t="s">
        <v>0</v>
      </c>
      <c r="B28" s="14" t="s">
        <v>6</v>
      </c>
      <c r="C28" s="14" t="s">
        <v>32</v>
      </c>
      <c r="D28" s="14">
        <v>6</v>
      </c>
      <c r="E28" s="14">
        <v>0.52</v>
      </c>
    </row>
    <row r="29" spans="1:5" x14ac:dyDescent="0.3">
      <c r="A29" s="14" t="s">
        <v>0</v>
      </c>
      <c r="B29" s="14" t="s">
        <v>6</v>
      </c>
      <c r="C29" s="14" t="s">
        <v>33</v>
      </c>
      <c r="D29" s="14">
        <v>97</v>
      </c>
      <c r="E29" s="14">
        <v>176.58</v>
      </c>
    </row>
    <row r="30" spans="1:5" x14ac:dyDescent="0.3">
      <c r="A30" s="14" t="s">
        <v>0</v>
      </c>
      <c r="B30" s="14" t="s">
        <v>6</v>
      </c>
      <c r="C30" s="14" t="s">
        <v>34</v>
      </c>
      <c r="D30" s="14">
        <v>12</v>
      </c>
      <c r="E30" s="14">
        <v>9.9</v>
      </c>
    </row>
    <row r="31" spans="1:5" x14ac:dyDescent="0.3">
      <c r="A31" s="14" t="s">
        <v>0</v>
      </c>
      <c r="B31" s="14" t="s">
        <v>6</v>
      </c>
      <c r="C31" s="14" t="s">
        <v>35</v>
      </c>
      <c r="D31" s="14">
        <v>3</v>
      </c>
      <c r="E31" s="14">
        <v>0.13</v>
      </c>
    </row>
    <row r="32" spans="1:5" x14ac:dyDescent="0.3">
      <c r="A32" s="15" t="s">
        <v>0</v>
      </c>
      <c r="B32" s="15" t="s">
        <v>6</v>
      </c>
      <c r="C32" s="15" t="s">
        <v>36</v>
      </c>
      <c r="D32" s="15">
        <v>464</v>
      </c>
      <c r="E32" s="15">
        <v>1181.7</v>
      </c>
    </row>
    <row r="33" spans="1:5" x14ac:dyDescent="0.3">
      <c r="A33" s="14" t="s">
        <v>0</v>
      </c>
      <c r="B33" s="14" t="s">
        <v>6</v>
      </c>
      <c r="C33" s="14" t="s">
        <v>37</v>
      </c>
      <c r="D33" s="14">
        <v>43</v>
      </c>
      <c r="E33" s="14">
        <v>72.63</v>
      </c>
    </row>
    <row r="34" spans="1:5" x14ac:dyDescent="0.3">
      <c r="A34" s="16" t="s">
        <v>0</v>
      </c>
      <c r="B34" s="16" t="s">
        <v>6</v>
      </c>
      <c r="C34" s="16" t="s">
        <v>133</v>
      </c>
      <c r="D34" s="17">
        <v>355</v>
      </c>
      <c r="E34" s="16">
        <v>899.63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8"/>
  <sheetViews>
    <sheetView workbookViewId="0">
      <selection activeCell="C28" sqref="C28"/>
    </sheetView>
  </sheetViews>
  <sheetFormatPr defaultRowHeight="14.4" x14ac:dyDescent="0.3"/>
  <cols>
    <col min="1" max="1" width="21" customWidth="1"/>
    <col min="2" max="2" width="11.44140625" bestFit="1" customWidth="1"/>
    <col min="3" max="3" width="38.88671875" bestFit="1" customWidth="1"/>
    <col min="4" max="4" width="14.44140625" bestFit="1" customWidth="1"/>
  </cols>
  <sheetData>
    <row r="1" spans="1:4" x14ac:dyDescent="0.3">
      <c r="A1" s="10" t="s">
        <v>82</v>
      </c>
    </row>
    <row r="2" spans="1:4" x14ac:dyDescent="0.3">
      <c r="A2" s="7" t="s">
        <v>1</v>
      </c>
      <c r="B2" s="7" t="s">
        <v>2</v>
      </c>
      <c r="C2" s="7" t="s">
        <v>3</v>
      </c>
      <c r="D2" s="9" t="s">
        <v>83</v>
      </c>
    </row>
    <row r="3" spans="1:4" x14ac:dyDescent="0.3">
      <c r="A3" s="14" t="s">
        <v>82</v>
      </c>
      <c r="B3" s="14" t="s">
        <v>46</v>
      </c>
      <c r="C3" s="14" t="s">
        <v>84</v>
      </c>
      <c r="D3" s="14">
        <v>0</v>
      </c>
    </row>
    <row r="4" spans="1:4" x14ac:dyDescent="0.3">
      <c r="A4" s="14" t="s">
        <v>82</v>
      </c>
      <c r="B4" s="14" t="s">
        <v>46</v>
      </c>
      <c r="C4" s="14" t="s">
        <v>85</v>
      </c>
      <c r="D4" s="14">
        <v>0.03</v>
      </c>
    </row>
    <row r="5" spans="1:4" x14ac:dyDescent="0.3">
      <c r="A5" s="14" t="s">
        <v>82</v>
      </c>
      <c r="B5" s="14" t="s">
        <v>46</v>
      </c>
      <c r="C5" s="14" t="s">
        <v>86</v>
      </c>
      <c r="D5" s="14">
        <v>0</v>
      </c>
    </row>
    <row r="6" spans="1:4" x14ac:dyDescent="0.3">
      <c r="A6" s="14" t="s">
        <v>82</v>
      </c>
      <c r="B6" s="14" t="s">
        <v>46</v>
      </c>
      <c r="C6" s="14" t="s">
        <v>87</v>
      </c>
      <c r="D6" s="14">
        <v>0</v>
      </c>
    </row>
    <row r="7" spans="1:4" x14ac:dyDescent="0.3">
      <c r="A7" s="14" t="s">
        <v>82</v>
      </c>
      <c r="B7" s="14" t="s">
        <v>46</v>
      </c>
      <c r="C7" s="14" t="s">
        <v>88</v>
      </c>
      <c r="D7" s="14">
        <v>39396.29</v>
      </c>
    </row>
    <row r="8" spans="1:4" x14ac:dyDescent="0.3">
      <c r="A8" s="14" t="s">
        <v>82</v>
      </c>
      <c r="B8" s="14" t="s">
        <v>46</v>
      </c>
      <c r="C8" s="14" t="s">
        <v>89</v>
      </c>
      <c r="D8" s="14">
        <v>18983.53</v>
      </c>
    </row>
    <row r="9" spans="1:4" x14ac:dyDescent="0.3">
      <c r="A9" s="14" t="s">
        <v>82</v>
      </c>
      <c r="B9" s="14" t="s">
        <v>46</v>
      </c>
      <c r="C9" s="14" t="s">
        <v>90</v>
      </c>
      <c r="D9" s="14">
        <v>0</v>
      </c>
    </row>
    <row r="10" spans="1:4" x14ac:dyDescent="0.3">
      <c r="A10" s="14" t="s">
        <v>82</v>
      </c>
      <c r="B10" s="14" t="s">
        <v>46</v>
      </c>
      <c r="C10" s="14" t="s">
        <v>91</v>
      </c>
      <c r="D10" s="14">
        <v>5586.52</v>
      </c>
    </row>
    <row r="11" spans="1:4" x14ac:dyDescent="0.3">
      <c r="A11" s="14" t="s">
        <v>82</v>
      </c>
      <c r="B11" s="14" t="s">
        <v>46</v>
      </c>
      <c r="C11" s="14" t="s">
        <v>92</v>
      </c>
      <c r="D11" s="14">
        <v>0</v>
      </c>
    </row>
    <row r="12" spans="1:4" x14ac:dyDescent="0.3">
      <c r="A12" s="14" t="s">
        <v>82</v>
      </c>
      <c r="B12" s="14" t="s">
        <v>46</v>
      </c>
      <c r="C12" s="14" t="s">
        <v>93</v>
      </c>
      <c r="D12" s="14">
        <v>107291.18</v>
      </c>
    </row>
    <row r="13" spans="1:4" x14ac:dyDescent="0.3">
      <c r="A13" s="14" t="s">
        <v>82</v>
      </c>
      <c r="B13" s="14" t="s">
        <v>46</v>
      </c>
      <c r="C13" s="14" t="s">
        <v>94</v>
      </c>
      <c r="D13" s="14">
        <v>0.04</v>
      </c>
    </row>
    <row r="14" spans="1:4" x14ac:dyDescent="0.3">
      <c r="A14" s="14" t="s">
        <v>82</v>
      </c>
      <c r="B14" s="14" t="s">
        <v>46</v>
      </c>
      <c r="C14" s="14" t="s">
        <v>95</v>
      </c>
      <c r="D14" s="14">
        <v>0</v>
      </c>
    </row>
    <row r="15" spans="1:4" x14ac:dyDescent="0.3">
      <c r="A15" s="14" t="s">
        <v>82</v>
      </c>
      <c r="B15" s="14" t="s">
        <v>46</v>
      </c>
      <c r="C15" s="14" t="s">
        <v>96</v>
      </c>
      <c r="D15" s="14">
        <v>0</v>
      </c>
    </row>
    <row r="16" spans="1:4" x14ac:dyDescent="0.3">
      <c r="A16" s="14" t="s">
        <v>82</v>
      </c>
      <c r="B16" s="14" t="s">
        <v>46</v>
      </c>
      <c r="C16" s="14" t="s">
        <v>97</v>
      </c>
      <c r="D16" s="14">
        <v>3.64</v>
      </c>
    </row>
    <row r="17" spans="1:4" x14ac:dyDescent="0.3">
      <c r="A17" s="14" t="s">
        <v>82</v>
      </c>
      <c r="B17" s="14" t="s">
        <v>46</v>
      </c>
      <c r="C17" s="14" t="s">
        <v>98</v>
      </c>
      <c r="D17" s="14">
        <v>0</v>
      </c>
    </row>
    <row r="18" spans="1:4" x14ac:dyDescent="0.3">
      <c r="A18" s="14" t="s">
        <v>82</v>
      </c>
      <c r="B18" s="14" t="s">
        <v>46</v>
      </c>
      <c r="C18" s="14" t="s">
        <v>99</v>
      </c>
      <c r="D18" s="14">
        <v>0</v>
      </c>
    </row>
    <row r="19" spans="1:4" x14ac:dyDescent="0.3">
      <c r="A19" s="14" t="s">
        <v>82</v>
      </c>
      <c r="B19" s="14" t="s">
        <v>46</v>
      </c>
      <c r="C19" s="14" t="s">
        <v>100</v>
      </c>
      <c r="D19" s="14">
        <v>150420.17000000001</v>
      </c>
    </row>
    <row r="20" spans="1:4" x14ac:dyDescent="0.3">
      <c r="A20" s="14" t="s">
        <v>82</v>
      </c>
      <c r="B20" s="14" t="s">
        <v>46</v>
      </c>
      <c r="C20" s="14" t="s">
        <v>101</v>
      </c>
      <c r="D20" s="14">
        <v>116319.3</v>
      </c>
    </row>
    <row r="21" spans="1:4" x14ac:dyDescent="0.3">
      <c r="A21" s="14" t="s">
        <v>82</v>
      </c>
      <c r="B21" s="14" t="s">
        <v>46</v>
      </c>
      <c r="C21" s="14" t="s">
        <v>102</v>
      </c>
      <c r="D21" s="14">
        <v>347098.71</v>
      </c>
    </row>
    <row r="22" spans="1:4" x14ac:dyDescent="0.3">
      <c r="A22" s="14" t="s">
        <v>82</v>
      </c>
      <c r="B22" s="14" t="s">
        <v>46</v>
      </c>
      <c r="C22" s="14" t="s">
        <v>103</v>
      </c>
      <c r="D22" s="14">
        <v>0</v>
      </c>
    </row>
    <row r="23" spans="1:4" x14ac:dyDescent="0.3">
      <c r="A23" s="14" t="s">
        <v>82</v>
      </c>
      <c r="B23" s="14" t="s">
        <v>46</v>
      </c>
      <c r="C23" s="14" t="s">
        <v>104</v>
      </c>
      <c r="D23" s="14">
        <v>106.78</v>
      </c>
    </row>
    <row r="24" spans="1:4" x14ac:dyDescent="0.3">
      <c r="A24" s="14" t="s">
        <v>82</v>
      </c>
      <c r="B24" s="14" t="s">
        <v>46</v>
      </c>
      <c r="C24" s="14" t="s">
        <v>105</v>
      </c>
      <c r="D24" s="14">
        <v>163414.13</v>
      </c>
    </row>
    <row r="25" spans="1:4" x14ac:dyDescent="0.3">
      <c r="A25" s="14" t="s">
        <v>82</v>
      </c>
      <c r="B25" s="14" t="s">
        <v>46</v>
      </c>
      <c r="C25" s="14" t="s">
        <v>106</v>
      </c>
      <c r="D25" s="14">
        <v>268433.46000000002</v>
      </c>
    </row>
    <row r="26" spans="1:4" x14ac:dyDescent="0.3">
      <c r="A26" s="14" t="s">
        <v>82</v>
      </c>
      <c r="B26" s="14" t="s">
        <v>46</v>
      </c>
      <c r="C26" s="14" t="s">
        <v>107</v>
      </c>
      <c r="D26" s="14">
        <v>0</v>
      </c>
    </row>
    <row r="27" spans="1:4" x14ac:dyDescent="0.3">
      <c r="A27" s="14" t="s">
        <v>82</v>
      </c>
      <c r="B27" s="14" t="s">
        <v>46</v>
      </c>
      <c r="C27" s="14" t="s">
        <v>108</v>
      </c>
      <c r="D27" s="14">
        <v>65.569999999999993</v>
      </c>
    </row>
    <row r="28" spans="1:4" x14ac:dyDescent="0.3">
      <c r="A28" s="14" t="s">
        <v>82</v>
      </c>
      <c r="B28" s="14" t="s">
        <v>46</v>
      </c>
      <c r="C28" s="14" t="s">
        <v>109</v>
      </c>
      <c r="D28" s="14">
        <v>9178.24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9"/>
  <sheetViews>
    <sheetView workbookViewId="0">
      <selection activeCell="A6" sqref="A6"/>
    </sheetView>
  </sheetViews>
  <sheetFormatPr defaultRowHeight="14.4" x14ac:dyDescent="0.3"/>
  <cols>
    <col min="1" max="1" width="19.21875" bestFit="1" customWidth="1"/>
    <col min="2" max="2" width="14.33203125" bestFit="1" customWidth="1"/>
    <col min="3" max="3" width="13.6640625" bestFit="1" customWidth="1"/>
    <col min="4" max="4" width="12.21875" bestFit="1" customWidth="1"/>
    <col min="5" max="5" width="5.33203125" bestFit="1" customWidth="1"/>
  </cols>
  <sheetData>
    <row r="1" spans="1:5" x14ac:dyDescent="0.3">
      <c r="A1" s="10" t="s">
        <v>110</v>
      </c>
      <c r="B1" s="11"/>
      <c r="C1" s="11"/>
      <c r="D1" s="12"/>
      <c r="E1" s="11"/>
    </row>
    <row r="2" spans="1:5" x14ac:dyDescent="0.3">
      <c r="A2" s="7" t="s">
        <v>1</v>
      </c>
      <c r="B2" s="7" t="s">
        <v>2</v>
      </c>
      <c r="C2" s="7" t="s">
        <v>3</v>
      </c>
      <c r="D2" s="13" t="s">
        <v>4</v>
      </c>
      <c r="E2" s="8" t="s">
        <v>5</v>
      </c>
    </row>
    <row r="3" spans="1:5" x14ac:dyDescent="0.3">
      <c r="A3" s="11" t="s">
        <v>110</v>
      </c>
      <c r="B3" s="11" t="s">
        <v>46</v>
      </c>
      <c r="C3" s="11" t="s">
        <v>100</v>
      </c>
      <c r="D3" s="12">
        <v>13</v>
      </c>
      <c r="E3" s="11">
        <v>23.08</v>
      </c>
    </row>
    <row r="4" spans="1:5" x14ac:dyDescent="0.3">
      <c r="A4" s="11" t="s">
        <v>110</v>
      </c>
      <c r="B4" s="11" t="s">
        <v>46</v>
      </c>
      <c r="C4" s="11" t="s">
        <v>101</v>
      </c>
      <c r="D4" s="12">
        <v>10</v>
      </c>
      <c r="E4" s="11">
        <v>4.03</v>
      </c>
    </row>
    <row r="5" spans="1:5" x14ac:dyDescent="0.3">
      <c r="A5" s="11" t="s">
        <v>110</v>
      </c>
      <c r="B5" s="11" t="s">
        <v>46</v>
      </c>
      <c r="C5" s="11" t="s">
        <v>102</v>
      </c>
      <c r="D5" s="12">
        <v>12</v>
      </c>
      <c r="E5" s="11">
        <v>6.88</v>
      </c>
    </row>
    <row r="6" spans="1:5" x14ac:dyDescent="0.3">
      <c r="A6" s="11" t="s">
        <v>110</v>
      </c>
      <c r="B6" s="11" t="s">
        <v>46</v>
      </c>
      <c r="C6" s="11" t="s">
        <v>105</v>
      </c>
      <c r="D6" s="12">
        <v>18</v>
      </c>
      <c r="E6" s="11">
        <v>7.9</v>
      </c>
    </row>
    <row r="7" spans="1:5" x14ac:dyDescent="0.3">
      <c r="A7" s="11" t="s">
        <v>110</v>
      </c>
      <c r="B7" s="11" t="s">
        <v>46</v>
      </c>
      <c r="C7" s="11" t="s">
        <v>108</v>
      </c>
      <c r="D7" s="12">
        <v>2</v>
      </c>
      <c r="E7" s="11">
        <v>6.65</v>
      </c>
    </row>
    <row r="8" spans="1:5" x14ac:dyDescent="0.3">
      <c r="A8" s="11"/>
      <c r="B8" s="11"/>
      <c r="C8" s="11"/>
      <c r="D8" s="12"/>
      <c r="E8" s="11"/>
    </row>
    <row r="9" spans="1:5" x14ac:dyDescent="0.3">
      <c r="A9" s="11"/>
      <c r="B9" s="11"/>
      <c r="C9" s="11"/>
      <c r="D9" s="12"/>
      <c r="E9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>
      <selection activeCell="A3" sqref="A3"/>
    </sheetView>
  </sheetViews>
  <sheetFormatPr defaultRowHeight="14.4" x14ac:dyDescent="0.3"/>
  <cols>
    <col min="1" max="1" width="18.44140625" customWidth="1"/>
    <col min="2" max="2" width="14.77734375" customWidth="1"/>
    <col min="3" max="3" width="19.5546875" customWidth="1"/>
    <col min="4" max="4" width="11.5546875" bestFit="1" customWidth="1"/>
  </cols>
  <sheetData>
    <row r="1" spans="1:4" x14ac:dyDescent="0.3">
      <c r="A1" s="10" t="s">
        <v>111</v>
      </c>
      <c r="B1" s="11"/>
      <c r="C1" s="11"/>
      <c r="D1" s="12"/>
    </row>
    <row r="2" spans="1:4" x14ac:dyDescent="0.3">
      <c r="A2" s="7" t="s">
        <v>1</v>
      </c>
      <c r="B2" s="7" t="s">
        <v>2</v>
      </c>
      <c r="C2" s="7" t="s">
        <v>3</v>
      </c>
      <c r="D2" s="9" t="s">
        <v>45</v>
      </c>
    </row>
    <row r="3" spans="1:4" x14ac:dyDescent="0.3">
      <c r="A3" s="14" t="s">
        <v>111</v>
      </c>
      <c r="B3" s="11" t="s">
        <v>46</v>
      </c>
      <c r="C3" s="11" t="s">
        <v>88</v>
      </c>
      <c r="D3" s="12">
        <v>1</v>
      </c>
    </row>
    <row r="4" spans="1:4" x14ac:dyDescent="0.3">
      <c r="A4" s="14" t="s">
        <v>111</v>
      </c>
      <c r="B4" s="11" t="s">
        <v>46</v>
      </c>
      <c r="C4" s="11" t="s">
        <v>102</v>
      </c>
      <c r="D4" s="12">
        <v>15</v>
      </c>
    </row>
    <row r="5" spans="1:4" x14ac:dyDescent="0.3">
      <c r="A5" s="11"/>
      <c r="B5" s="11"/>
      <c r="C5" s="11"/>
      <c r="D5" s="1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0"/>
  <sheetViews>
    <sheetView workbookViewId="0">
      <selection activeCell="B3" sqref="B3"/>
    </sheetView>
  </sheetViews>
  <sheetFormatPr defaultRowHeight="14.4" x14ac:dyDescent="0.3"/>
  <cols>
    <col min="1" max="1" width="11.33203125" customWidth="1"/>
    <col min="2" max="2" width="27.44140625" customWidth="1"/>
    <col min="3" max="3" width="29" bestFit="1" customWidth="1"/>
    <col min="4" max="4" width="10.88671875" bestFit="1" customWidth="1"/>
    <col min="5" max="5" width="9.21875" customWidth="1"/>
    <col min="7" max="7" width="11.21875" bestFit="1" customWidth="1"/>
    <col min="8" max="8" width="7.33203125" customWidth="1"/>
    <col min="9" max="9" width="29" bestFit="1" customWidth="1"/>
  </cols>
  <sheetData>
    <row r="1" spans="1:5" x14ac:dyDescent="0.3">
      <c r="A1" s="1" t="s">
        <v>112</v>
      </c>
    </row>
    <row r="2" spans="1:5" x14ac:dyDescent="0.3">
      <c r="A2" s="7" t="s">
        <v>1</v>
      </c>
      <c r="B2" s="7" t="s">
        <v>2</v>
      </c>
      <c r="C2" s="7" t="s">
        <v>49</v>
      </c>
      <c r="D2" s="7" t="s">
        <v>4</v>
      </c>
      <c r="E2" s="8" t="s">
        <v>5</v>
      </c>
    </row>
    <row r="3" spans="1:5" x14ac:dyDescent="0.3">
      <c r="A3" s="14" t="s">
        <v>0</v>
      </c>
      <c r="B3" s="14" t="s">
        <v>112</v>
      </c>
      <c r="C3" s="14" t="s">
        <v>113</v>
      </c>
      <c r="D3" s="14"/>
      <c r="E3" s="14"/>
    </row>
    <row r="4" spans="1:5" x14ac:dyDescent="0.3">
      <c r="A4" s="14" t="s">
        <v>0</v>
      </c>
      <c r="B4" s="14" t="s">
        <v>112</v>
      </c>
      <c r="C4" s="14" t="s">
        <v>114</v>
      </c>
      <c r="D4">
        <v>3076</v>
      </c>
      <c r="E4">
        <v>11722.93</v>
      </c>
    </row>
    <row r="5" spans="1:5" x14ac:dyDescent="0.3">
      <c r="A5" s="14" t="s">
        <v>0</v>
      </c>
      <c r="B5" s="14" t="s">
        <v>112</v>
      </c>
      <c r="C5" s="14" t="s">
        <v>115</v>
      </c>
      <c r="D5">
        <v>32</v>
      </c>
      <c r="E5">
        <v>39.85</v>
      </c>
    </row>
    <row r="6" spans="1:5" x14ac:dyDescent="0.3">
      <c r="A6" s="14" t="s">
        <v>0</v>
      </c>
      <c r="B6" s="14" t="s">
        <v>112</v>
      </c>
      <c r="C6" s="14" t="s">
        <v>116</v>
      </c>
      <c r="D6">
        <v>2147</v>
      </c>
      <c r="E6">
        <v>8384.5300000000007</v>
      </c>
    </row>
    <row r="7" spans="1:5" x14ac:dyDescent="0.3">
      <c r="A7" s="14" t="s">
        <v>0</v>
      </c>
      <c r="B7" s="14" t="s">
        <v>112</v>
      </c>
      <c r="C7" s="14" t="s">
        <v>117</v>
      </c>
      <c r="D7" s="14">
        <v>9</v>
      </c>
      <c r="E7" s="14">
        <v>6.77</v>
      </c>
    </row>
    <row r="8" spans="1:5" x14ac:dyDescent="0.3">
      <c r="A8" s="14" t="s">
        <v>0</v>
      </c>
      <c r="B8" s="14" t="s">
        <v>112</v>
      </c>
      <c r="C8" s="14" t="s">
        <v>118</v>
      </c>
      <c r="D8" s="14">
        <v>745</v>
      </c>
      <c r="E8" s="14">
        <v>2809.78</v>
      </c>
    </row>
    <row r="9" spans="1:5" x14ac:dyDescent="0.3">
      <c r="A9" s="14" t="s">
        <v>0</v>
      </c>
      <c r="B9" s="14" t="s">
        <v>112</v>
      </c>
      <c r="C9" s="14" t="s">
        <v>119</v>
      </c>
      <c r="D9" s="14">
        <v>376</v>
      </c>
      <c r="E9" s="14">
        <v>1445.63</v>
      </c>
    </row>
    <row r="10" spans="1:5" x14ac:dyDescent="0.3">
      <c r="A10" s="14" t="s">
        <v>0</v>
      </c>
      <c r="B10" s="14" t="s">
        <v>112</v>
      </c>
      <c r="C10" s="14" t="s">
        <v>120</v>
      </c>
      <c r="D10" s="14">
        <v>76</v>
      </c>
      <c r="E10" s="14">
        <v>431.2</v>
      </c>
    </row>
    <row r="11" spans="1:5" x14ac:dyDescent="0.3">
      <c r="A11" s="14" t="s">
        <v>0</v>
      </c>
      <c r="B11" s="14" t="s">
        <v>112</v>
      </c>
      <c r="C11" s="14" t="s">
        <v>121</v>
      </c>
      <c r="D11" s="14">
        <v>16</v>
      </c>
      <c r="E11" s="14">
        <v>40.369999999999997</v>
      </c>
    </row>
    <row r="12" spans="1:5" x14ac:dyDescent="0.3">
      <c r="A12" s="14" t="s">
        <v>0</v>
      </c>
      <c r="B12" s="14" t="s">
        <v>112</v>
      </c>
      <c r="C12" s="14" t="s">
        <v>122</v>
      </c>
      <c r="D12" s="14">
        <v>15</v>
      </c>
      <c r="E12" s="14">
        <v>27.73</v>
      </c>
    </row>
    <row r="13" spans="1:5" x14ac:dyDescent="0.3">
      <c r="A13" s="14" t="s">
        <v>0</v>
      </c>
      <c r="B13" s="14" t="s">
        <v>112</v>
      </c>
      <c r="C13" s="14" t="s">
        <v>123</v>
      </c>
      <c r="D13" s="14">
        <v>27</v>
      </c>
      <c r="E13" s="14">
        <v>78.900000000000006</v>
      </c>
    </row>
    <row r="14" spans="1:5" x14ac:dyDescent="0.3">
      <c r="A14" s="14" t="s">
        <v>0</v>
      </c>
      <c r="B14" s="14" t="s">
        <v>112</v>
      </c>
      <c r="C14" s="14" t="s">
        <v>124</v>
      </c>
      <c r="D14" s="14">
        <v>6</v>
      </c>
      <c r="E14" s="14">
        <v>16.02</v>
      </c>
    </row>
    <row r="15" spans="1:5" x14ac:dyDescent="0.3">
      <c r="A15" s="14" t="s">
        <v>0</v>
      </c>
      <c r="B15" s="14" t="s">
        <v>112</v>
      </c>
      <c r="C15" s="14" t="s">
        <v>125</v>
      </c>
      <c r="D15" s="14">
        <v>8</v>
      </c>
      <c r="E15" s="14">
        <v>73.72</v>
      </c>
    </row>
    <row r="16" spans="1:5" x14ac:dyDescent="0.3">
      <c r="A16" s="14" t="s">
        <v>0</v>
      </c>
      <c r="B16" s="14" t="s">
        <v>112</v>
      </c>
      <c r="C16" s="14" t="s">
        <v>126</v>
      </c>
      <c r="D16" s="14">
        <v>15</v>
      </c>
      <c r="E16" s="14">
        <v>44.82</v>
      </c>
    </row>
    <row r="17" spans="1:5" x14ac:dyDescent="0.3">
      <c r="A17" s="14" t="s">
        <v>0</v>
      </c>
      <c r="B17" s="14" t="s">
        <v>112</v>
      </c>
      <c r="C17" s="14" t="s">
        <v>127</v>
      </c>
      <c r="D17" s="14"/>
      <c r="E17" s="14"/>
    </row>
    <row r="18" spans="1:5" x14ac:dyDescent="0.3">
      <c r="A18" s="14" t="s">
        <v>0</v>
      </c>
      <c r="B18" s="14" t="s">
        <v>112</v>
      </c>
      <c r="C18" s="14" t="s">
        <v>128</v>
      </c>
      <c r="D18" s="14">
        <v>2</v>
      </c>
      <c r="E18" s="14">
        <v>6.43</v>
      </c>
    </row>
    <row r="19" spans="1:5" x14ac:dyDescent="0.3">
      <c r="A19" s="14" t="s">
        <v>0</v>
      </c>
      <c r="B19" s="14" t="s">
        <v>112</v>
      </c>
      <c r="C19" s="14" t="s">
        <v>129</v>
      </c>
      <c r="D19" s="14">
        <v>8</v>
      </c>
      <c r="E19" s="14">
        <v>33.15</v>
      </c>
    </row>
    <row r="20" spans="1:5" x14ac:dyDescent="0.3">
      <c r="A20" s="14" t="s">
        <v>0</v>
      </c>
      <c r="B20" s="14" t="s">
        <v>112</v>
      </c>
      <c r="C20" s="14" t="s">
        <v>130</v>
      </c>
      <c r="D20" s="14"/>
      <c r="E20" s="14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3"/>
  <sheetViews>
    <sheetView workbookViewId="0">
      <selection activeCell="C6" sqref="C6"/>
    </sheetView>
  </sheetViews>
  <sheetFormatPr defaultRowHeight="14.4" x14ac:dyDescent="0.3"/>
  <cols>
    <col min="1" max="1" width="16.88671875" bestFit="1" customWidth="1"/>
    <col min="2" max="2" width="28.6640625" customWidth="1"/>
    <col min="3" max="3" width="49.21875" bestFit="1" customWidth="1"/>
    <col min="4" max="4" width="17.6640625" customWidth="1"/>
    <col min="5" max="5" width="13.88671875" customWidth="1"/>
  </cols>
  <sheetData>
    <row r="1" spans="1:4" x14ac:dyDescent="0.3">
      <c r="A1" s="1" t="s">
        <v>131</v>
      </c>
    </row>
    <row r="2" spans="1:4" x14ac:dyDescent="0.3">
      <c r="A2" s="4" t="s">
        <v>1</v>
      </c>
      <c r="B2" s="4" t="s">
        <v>2</v>
      </c>
      <c r="C2" s="4" t="s">
        <v>44</v>
      </c>
      <c r="D2" s="4" t="s">
        <v>45</v>
      </c>
    </row>
    <row r="3" spans="1:4" x14ac:dyDescent="0.3">
      <c r="A3" s="14" t="s">
        <v>43</v>
      </c>
      <c r="B3" s="14" t="s">
        <v>139</v>
      </c>
      <c r="C3" s="14" t="s">
        <v>138</v>
      </c>
      <c r="D3" s="14">
        <v>86470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Intl. SMS</vt:lpstr>
      <vt:lpstr>Intl. Voice</vt:lpstr>
      <vt:lpstr>Roaming Data</vt:lpstr>
      <vt:lpstr>Roaming Voice</vt:lpstr>
      <vt:lpstr>Roaming SMS</vt:lpstr>
      <vt:lpstr>Prem. &amp; Spec. Nos.</vt:lpstr>
      <vt:lpstr>Domestic A2P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sk .</cp:lastModifiedBy>
  <dcterms:created xsi:type="dcterms:W3CDTF">2015-06-05T18:17:20Z</dcterms:created>
  <dcterms:modified xsi:type="dcterms:W3CDTF">2026-09-23T07:29:00Z</dcterms:modified>
</cp:coreProperties>
</file>