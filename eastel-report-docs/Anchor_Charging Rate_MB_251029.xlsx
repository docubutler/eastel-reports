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-- (oo) --\EASTel\Charging Rate\"/>
    </mc:Choice>
  </mc:AlternateContent>
  <xr:revisionPtr revIDLastSave="0" documentId="8_{F9C96025-3DE2-4A95-9603-422E4725A561}" xr6:coauthVersionLast="47" xr6:coauthVersionMax="47" xr10:uidLastSave="{00000000-0000-0000-0000-000000000000}"/>
  <bookViews>
    <workbookView xWindow="-28920" yWindow="3795" windowWidth="29040" windowHeight="15720" xr2:uid="{2F8DFECE-E4AC-46A9-AFE9-B921EF4F7D15}"/>
  </bookViews>
  <sheets>
    <sheet name="Premium Number" sheetId="8" r:id="rId1"/>
    <sheet name="Charging Block" sheetId="9" r:id="rId2"/>
    <sheet name="IDD Voice" sheetId="2" r:id="rId3"/>
    <sheet name="International SMS" sheetId="3" r:id="rId4"/>
    <sheet name="Roaming Data" sheetId="4" r:id="rId5"/>
    <sheet name="Roaming Voice and SMS" sheetId="5" r:id="rId6"/>
    <sheet name="HCD List" sheetId="6" r:id="rId7"/>
  </sheets>
  <definedNames>
    <definedName name="_xlnm._FilterDatabase" localSheetId="4" hidden="1">'Roaming Data'!$A$2:$A$71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6" i="4" l="1"/>
  <c r="J65" i="4"/>
  <c r="J64" i="4"/>
  <c r="J63" i="4"/>
  <c r="J62" i="4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</calcChain>
</file>

<file path=xl/sharedStrings.xml><?xml version="1.0" encoding="utf-8"?>
<sst xmlns="http://schemas.openxmlformats.org/spreadsheetml/2006/main" count="1347" uniqueCount="622">
  <si>
    <t>No</t>
  </si>
  <si>
    <t>RM 2/call</t>
  </si>
  <si>
    <t>RM 0.15/min</t>
  </si>
  <si>
    <t>RM0.20/min</t>
  </si>
  <si>
    <t>RM0.15/min</t>
  </si>
  <si>
    <t>RM 0.30/min</t>
  </si>
  <si>
    <t>RM 0.60/min</t>
  </si>
  <si>
    <t>RM 0.00/min</t>
  </si>
  <si>
    <t>Country</t>
  </si>
  <si>
    <t>Country code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</si>
  <si>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</si>
  <si>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</si>
  <si>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</si>
  <si>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</si>
  <si>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</si>
  <si>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</si>
  <si>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</si>
  <si>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</si>
  <si>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</si>
  <si>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</si>
  <si>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</si>
  <si>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</si>
  <si>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</si>
  <si>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</si>
  <si>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</si>
  <si>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Bhutan</t>
  </si>
  <si>
    <t>Bolivia</t>
  </si>
  <si>
    <t>Bosnia</t>
  </si>
  <si>
    <t>Botswana</t>
  </si>
  <si>
    <t>Brazil</t>
  </si>
  <si>
    <t>Brunei</t>
  </si>
  <si>
    <t>Bulgaria</t>
  </si>
  <si>
    <t>Burkina Faso</t>
  </si>
  <si>
    <t>Cambodia</t>
  </si>
  <si>
    <t>Cameroon</t>
  </si>
  <si>
    <t>Canada</t>
  </si>
  <si>
    <t>Cape Verde</t>
  </si>
  <si>
    <t>Chad</t>
  </si>
  <si>
    <t>Chile</t>
  </si>
  <si>
    <t>China</t>
  </si>
  <si>
    <t>Colombia</t>
  </si>
  <si>
    <t>Comoros</t>
  </si>
  <si>
    <t>Congo Brazaville</t>
  </si>
  <si>
    <t>Costa Rica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</si>
  <si>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</si>
  <si>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</si>
  <si>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</si>
  <si>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</si>
  <si>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</si>
  <si>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</si>
  <si>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</si>
  <si>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1809
1829
1849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</si>
  <si>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</si>
  <si>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</si>
  <si>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</si>
  <si>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</si>
  <si>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</si>
  <si>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</si>
  <si>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</si>
  <si>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</si>
  <si>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</si>
  <si>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</si>
  <si>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</si>
  <si>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Gambia</t>
  </si>
  <si>
    <t>Georgia</t>
  </si>
  <si>
    <t>Germany</t>
  </si>
  <si>
    <t>Ghana</t>
  </si>
  <si>
    <t>Gibraltar</t>
  </si>
  <si>
    <t>Global MOBILE Satelllite</t>
  </si>
  <si>
    <t>Greece</t>
  </si>
  <si>
    <t>Guatemala</t>
  </si>
  <si>
    <t>Guinea Republic</t>
  </si>
  <si>
    <t>Guyana</t>
  </si>
  <si>
    <t>Honduras</t>
  </si>
  <si>
    <t>Hong Kong</t>
  </si>
  <si>
    <t>Hungary</t>
  </si>
  <si>
    <t>Iceland</t>
  </si>
  <si>
    <t>India</t>
  </si>
  <si>
    <t>Indonesia</t>
  </si>
  <si>
    <t>Inmarsat SATELLITE</t>
  </si>
  <si>
    <t>International Networks SATELLITE</t>
  </si>
  <si>
    <t>882
883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</si>
  <si>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</si>
  <si>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</si>
  <si>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</si>
  <si>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</si>
  <si>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</si>
  <si>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</si>
  <si>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</si>
  <si>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</si>
  <si>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</si>
  <si>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</si>
  <si>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 xml:space="preserve">Kenya </t>
  </si>
  <si>
    <t>Kiribati</t>
  </si>
  <si>
    <t>Kuwait</t>
  </si>
  <si>
    <t>Kyrghyzstan</t>
  </si>
  <si>
    <t>Laos</t>
  </si>
  <si>
    <t>Latvia</t>
  </si>
  <si>
    <t>Lebanon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</si>
  <si>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</si>
  <si>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</si>
  <si>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</si>
  <si>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</si>
  <si>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</si>
  <si>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</si>
  <si>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</si>
  <si>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</si>
  <si>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</si>
  <si>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</si>
  <si>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</si>
  <si>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</si>
  <si>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</si>
  <si>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</si>
  <si>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</si>
  <si>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</si>
  <si>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</si>
  <si>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</si>
  <si>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</si>
  <si>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</si>
  <si>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</si>
  <si>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</si>
  <si>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</si>
  <si>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</si>
  <si>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</si>
  <si>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</si>
  <si>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</si>
  <si>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</si>
  <si>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</si>
  <si>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</si>
  <si>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</si>
  <si>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</si>
  <si>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</si>
  <si>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</si>
  <si>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</si>
  <si>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</si>
  <si>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</si>
  <si>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</si>
  <si>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</si>
  <si>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</si>
  <si>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</si>
  <si>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</si>
  <si>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</si>
  <si>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1787
1939</t>
  </si>
  <si>
    <t>Qatar</t>
  </si>
  <si>
    <t>Reunion Island</t>
  </si>
  <si>
    <t>Romania</t>
  </si>
  <si>
    <t>Russia</t>
  </si>
  <si>
    <t>Rwanda</t>
  </si>
  <si>
    <t>Saint Kitts and Nevis</t>
  </si>
  <si>
    <t>Saint Lucia</t>
  </si>
  <si>
    <t>San Marino</t>
  </si>
  <si>
    <t>Saudi Arabia</t>
  </si>
  <si>
    <t>Senegal</t>
  </si>
  <si>
    <t>Serbia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</si>
  <si>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</si>
  <si>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</si>
  <si>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</si>
  <si>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</si>
  <si>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</si>
  <si>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</si>
  <si>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</si>
  <si>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</si>
  <si>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</si>
  <si>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</si>
  <si>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</si>
  <si>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</si>
  <si>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</si>
  <si>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</si>
  <si>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</si>
  <si>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</si>
  <si>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</si>
  <si>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</si>
  <si>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</si>
  <si>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</si>
  <si>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</si>
  <si>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</si>
  <si>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Trinidad &amp; Tobago</t>
  </si>
  <si>
    <t>Tunisia</t>
  </si>
  <si>
    <t>Turkey</t>
  </si>
  <si>
    <t>Turkmenistan</t>
  </si>
  <si>
    <t>Uganda</t>
  </si>
  <si>
    <t>Ukraine</t>
  </si>
  <si>
    <t xml:space="preserve">United Arab Emirates </t>
  </si>
  <si>
    <t>United Kingdom</t>
  </si>
  <si>
    <t xml:space="preserve">United States </t>
  </si>
  <si>
    <t>Uruguay</t>
  </si>
  <si>
    <t>Uzbekistan</t>
  </si>
  <si>
    <t>Venezuela</t>
  </si>
  <si>
    <t>Vietnam</t>
  </si>
  <si>
    <t>Western Samoa</t>
  </si>
  <si>
    <t>Yemen</t>
  </si>
  <si>
    <t>Zambia</t>
  </si>
  <si>
    <t>Zimbabwe</t>
  </si>
  <si>
    <t>COUNTRY</t>
  </si>
  <si>
    <t>Country Code</t>
  </si>
  <si>
    <t>conversion rate</t>
  </si>
  <si>
    <t>transfer mark-up</t>
  </si>
  <si>
    <t>Ascension Island</t>
  </si>
  <si>
    <t>Bahamas</t>
  </si>
  <si>
    <t>Bermuda</t>
  </si>
  <si>
    <t>Bosnia And Herzegovina</t>
  </si>
  <si>
    <t>Burkino Faso</t>
  </si>
  <si>
    <t>Burundi</t>
  </si>
  <si>
    <t>Cayman Islands</t>
  </si>
  <si>
    <t>Congo</t>
  </si>
  <si>
    <t>Cuba</t>
  </si>
  <si>
    <t>Democratic Republic  Congo</t>
  </si>
  <si>
    <t>East Timor</t>
  </si>
  <si>
    <t>French Polynesia</t>
  </si>
  <si>
    <t>Gabon</t>
  </si>
  <si>
    <t>Global Mobile Satellite System</t>
  </si>
  <si>
    <t>Guadeloupe</t>
  </si>
  <si>
    <t>Guinea</t>
  </si>
  <si>
    <t>Haiti</t>
  </si>
  <si>
    <t>Hong Kong Hong Kong All</t>
  </si>
  <si>
    <t>Japan NTT DoCoMo</t>
  </si>
  <si>
    <t>Japan SOFTBANK MOBILE</t>
  </si>
  <si>
    <t>Kenya</t>
  </si>
  <si>
    <t>Lesotho</t>
  </si>
  <si>
    <t>Monaco</t>
  </si>
  <si>
    <t>Netherlands Antilles</t>
  </si>
  <si>
    <t>Palau</t>
  </si>
  <si>
    <t>Seychelles</t>
  </si>
  <si>
    <t>Sierra Leone</t>
  </si>
  <si>
    <t>Solomon Islands</t>
  </si>
  <si>
    <t>St Lucia</t>
  </si>
  <si>
    <t>United Arab Emirates</t>
  </si>
  <si>
    <t>United States</t>
  </si>
  <si>
    <t>UAE</t>
  </si>
  <si>
    <t>UK</t>
  </si>
  <si>
    <t>USA</t>
  </si>
  <si>
    <t>DESTINATION</t>
  </si>
  <si>
    <t>OPERATOR (Retail Brand)</t>
  </si>
  <si>
    <t>GROUP</t>
  </si>
  <si>
    <t>PLMN (TAP)</t>
  </si>
  <si>
    <t>CURRENCY</t>
  </si>
  <si>
    <t>MO LOCAL</t>
  </si>
  <si>
    <t>MO HOME</t>
  </si>
  <si>
    <t>MO INTERNATIONAL (ROW)</t>
  </si>
  <si>
    <t>MO INTERNATIONAL (HCD)</t>
  </si>
  <si>
    <t>MTC</t>
  </si>
  <si>
    <t>SMS</t>
  </si>
  <si>
    <t>Vodafone</t>
  </si>
  <si>
    <t>Vodafone (group)</t>
  </si>
  <si>
    <t>ALBVF</t>
  </si>
  <si>
    <t>EUR</t>
  </si>
  <si>
    <t>Movistar</t>
  </si>
  <si>
    <t>Telefonica (group)</t>
  </si>
  <si>
    <t>ARGTM</t>
  </si>
  <si>
    <t>USD</t>
  </si>
  <si>
    <t>Optus</t>
  </si>
  <si>
    <t>AUSOP</t>
  </si>
  <si>
    <t>AUD</t>
  </si>
  <si>
    <t>Telstra</t>
  </si>
  <si>
    <t>AUSTA</t>
  </si>
  <si>
    <t>TPG Telecom</t>
  </si>
  <si>
    <t>AUSVF</t>
  </si>
  <si>
    <t>Hutchison 3</t>
  </si>
  <si>
    <t>Hutchison (group)</t>
  </si>
  <si>
    <t>AUTCA</t>
  </si>
  <si>
    <t>T-Mobile</t>
  </si>
  <si>
    <t>Deutsche Telekom (group)</t>
  </si>
  <si>
    <t>AUTK9, AUTK8, AUTMM, AUTTR</t>
  </si>
  <si>
    <t>Bakcell</t>
  </si>
  <si>
    <t> </t>
  </si>
  <si>
    <t>AZEBC</t>
  </si>
  <si>
    <t>Grameenphone</t>
  </si>
  <si>
    <t>Telenor (group)</t>
  </si>
  <si>
    <t>BGDGP</t>
  </si>
  <si>
    <t>Telenor</t>
  </si>
  <si>
    <t>Base</t>
  </si>
  <si>
    <t>Telenet</t>
  </si>
  <si>
    <t>BELTN</t>
  </si>
  <si>
    <t>Orange/Mobistar</t>
  </si>
  <si>
    <t>Orange (group)</t>
  </si>
  <si>
    <t>BELMO</t>
  </si>
  <si>
    <t>Orange</t>
  </si>
  <si>
    <t>Vivo</t>
  </si>
  <si>
    <t>BRAV1, BRAV2, BRAV3, BRATC</t>
  </si>
  <si>
    <t>UNN/DST/Progresif</t>
  </si>
  <si>
    <t>BRNDS, BRNTB, BRNUN</t>
  </si>
  <si>
    <t>Vivacom/Vivatel</t>
  </si>
  <si>
    <t>VIVACOM</t>
  </si>
  <si>
    <t>BGRVA</t>
  </si>
  <si>
    <t>Cellcard/Mobitel</t>
  </si>
  <si>
    <t>CamGSM</t>
  </si>
  <si>
    <t>KHMGM</t>
  </si>
  <si>
    <t>Metfone</t>
  </si>
  <si>
    <t>Viettel (group)</t>
  </si>
  <si>
    <t>KHMVC</t>
  </si>
  <si>
    <t>Viettel</t>
  </si>
  <si>
    <t>Bell</t>
  </si>
  <si>
    <t>CANBM</t>
  </si>
  <si>
    <t>Freedom Mobile</t>
  </si>
  <si>
    <t>CANK5, CANGW</t>
  </si>
  <si>
    <t>Telus</t>
  </si>
  <si>
    <t>CANTS</t>
  </si>
  <si>
    <t>Videotron</t>
  </si>
  <si>
    <t>CANO1, CANVT</t>
  </si>
  <si>
    <t>Unicom</t>
  </si>
  <si>
    <t>China Unicom</t>
  </si>
  <si>
    <t>CHNCU</t>
  </si>
  <si>
    <t>CNY</t>
  </si>
  <si>
    <t>China Mobile</t>
  </si>
  <si>
    <t>CHNCT, CHNCM, CHNTD, CHNMM</t>
  </si>
  <si>
    <t xml:space="preserve">Vodacom </t>
  </si>
  <si>
    <t>CODVC</t>
  </si>
  <si>
    <t>Hrvatski Telekom/T-Mobile</t>
  </si>
  <si>
    <t>HRVK9, HRVCN</t>
  </si>
  <si>
    <t>O2</t>
  </si>
  <si>
    <t>CZEK8, CZEET</t>
  </si>
  <si>
    <t>CZEK9, CZERM</t>
  </si>
  <si>
    <t>CZECM</t>
  </si>
  <si>
    <t>DNKK9, DNKHU</t>
  </si>
  <si>
    <t>DNKDM</t>
  </si>
  <si>
    <t>Orange/Mobinil</t>
  </si>
  <si>
    <t>EGYFT, EGYAR</t>
  </si>
  <si>
    <t>DNA</t>
  </si>
  <si>
    <t xml:space="preserve">FINK6, FIN2G </t>
  </si>
  <si>
    <t>DNA/Telia</t>
  </si>
  <si>
    <t>FINK7, FINTA</t>
  </si>
  <si>
    <t>Bouygues Telecom</t>
  </si>
  <si>
    <t>FRAK7, FRAF3</t>
  </si>
  <si>
    <t>Free Mobile</t>
  </si>
  <si>
    <t>Iliad (group)</t>
  </si>
  <si>
    <t>FRAFM</t>
  </si>
  <si>
    <t>E-Plus/O2</t>
  </si>
  <si>
    <t>DEUE1</t>
  </si>
  <si>
    <t>DEUE2</t>
  </si>
  <si>
    <t>Telekom/T-Mobile</t>
  </si>
  <si>
    <t>AAZK8, AAZTD</t>
  </si>
  <si>
    <t>DEUD2</t>
  </si>
  <si>
    <t>GRCPF</t>
  </si>
  <si>
    <t>WIND/TIM</t>
  </si>
  <si>
    <t>Wind Hellas</t>
  </si>
  <si>
    <t>GRCSH, GRCQT</t>
  </si>
  <si>
    <t>CSL/Sun Mobile</t>
  </si>
  <si>
    <t>HKT</t>
  </si>
  <si>
    <t>HKGM3, HKGMC</t>
  </si>
  <si>
    <t>HKGH3, HKGHT</t>
  </si>
  <si>
    <t>SmarTone</t>
  </si>
  <si>
    <t>Smartone</t>
  </si>
  <si>
    <t>HKGSM</t>
  </si>
  <si>
    <t>Telekom</t>
  </si>
  <si>
    <t>HUNH2</t>
  </si>
  <si>
    <t>HUNVR</t>
  </si>
  <si>
    <t>Nova</t>
  </si>
  <si>
    <t>ISLNO</t>
  </si>
  <si>
    <t>Aircel</t>
  </si>
  <si>
    <t>IND01, IND02, IND03, IND04, IND05, IND06, IND08, IND09, IND17, IND18, IND19, IND20, IND21, IND22, IND23, IND24, IND25, IND26, IND27, IND28, IND29, INDAC, INDRC</t>
  </si>
  <si>
    <t>Airtel</t>
  </si>
  <si>
    <t>Bharti Airtel</t>
  </si>
  <si>
    <t>IND10, IND11, IND12, IND13, IND14, IND15, IND16, INDA1, INDA2, INDA3, INDA4, INDA5, INDA6, INDA7, INDA8, INDA9, INDAT, INDBL, INDH1, INDJB, INDJH, INDMT, INDSC</t>
  </si>
  <si>
    <t>BSNL</t>
  </si>
  <si>
    <t>INDWB</t>
  </si>
  <si>
    <t>INR</t>
  </si>
  <si>
    <t>Reliance Jio</t>
  </si>
  <si>
    <t>INDJ1, INDJ2, INDJ3, INDJ4, INDJ5, INDJ6, INDJ7, INDJ8, INDJ9, INDJL, INDJM, INDJN, INDJO, INDJP, INDJQ, INDJR, INDJS, INDJT, INDJU, INDJV, INDJW, INDJX</t>
  </si>
  <si>
    <t>Indosat Ooredoo</t>
  </si>
  <si>
    <t>Indosat</t>
  </si>
  <si>
    <t>IDNSL, IDNIM</t>
  </si>
  <si>
    <t>Telkomsel</t>
  </si>
  <si>
    <t>IDNTS</t>
  </si>
  <si>
    <t>AAZVF</t>
  </si>
  <si>
    <t>EIR/Meteor</t>
  </si>
  <si>
    <t>Salt Mobile (group)</t>
  </si>
  <si>
    <t>IRLME</t>
  </si>
  <si>
    <t>IRLH3, IRLDF</t>
  </si>
  <si>
    <t>IRLEC</t>
  </si>
  <si>
    <t>ITAOM</t>
  </si>
  <si>
    <t>Wind Tre/Hi3G</t>
  </si>
  <si>
    <t>ITAH3</t>
  </si>
  <si>
    <t>NTT DoCoMo</t>
  </si>
  <si>
    <t>NTT Docomo</t>
  </si>
  <si>
    <t>JPNDO</t>
  </si>
  <si>
    <t>JPY</t>
  </si>
  <si>
    <t>Softbank</t>
  </si>
  <si>
    <t>JPNJP</t>
  </si>
  <si>
    <t>Beeline/Kar-Tel LLP</t>
  </si>
  <si>
    <t>VEON (group)</t>
  </si>
  <si>
    <t>KAZKT</t>
  </si>
  <si>
    <t>Lao Telecom</t>
  </si>
  <si>
    <t>LAOFT</t>
  </si>
  <si>
    <t>Unitel</t>
  </si>
  <si>
    <t>LAOAS</t>
  </si>
  <si>
    <t>Bite (SIA Bite)</t>
  </si>
  <si>
    <t>Bite</t>
  </si>
  <si>
    <t>LVAK9, LVABT</t>
  </si>
  <si>
    <t>Vodacom</t>
  </si>
  <si>
    <t>LSOVL</t>
  </si>
  <si>
    <t>LTUK9, LTUMT</t>
  </si>
  <si>
    <t>LUXFT, LUXVM</t>
  </si>
  <si>
    <t>POST</t>
  </si>
  <si>
    <t>Deutsche Telekom (Broker)</t>
  </si>
  <si>
    <t>LUXPT</t>
  </si>
  <si>
    <t>CTM</t>
  </si>
  <si>
    <t>MACCT</t>
  </si>
  <si>
    <t>MACHT</t>
  </si>
  <si>
    <t>AT&amp;T</t>
  </si>
  <si>
    <t>MEXIU</t>
  </si>
  <si>
    <t>MEXMS</t>
  </si>
  <si>
    <t>MobiCom</t>
  </si>
  <si>
    <t>Mobicom</t>
  </si>
  <si>
    <t>MNGMC</t>
  </si>
  <si>
    <t>Mtel</t>
  </si>
  <si>
    <t>MNEMT</t>
  </si>
  <si>
    <t>MPT</t>
  </si>
  <si>
    <t>MMRPT</t>
  </si>
  <si>
    <t>Mytel</t>
  </si>
  <si>
    <t>MMRVG</t>
  </si>
  <si>
    <t>Ooredoo</t>
  </si>
  <si>
    <t>MMROM</t>
  </si>
  <si>
    <t>Ncell</t>
  </si>
  <si>
    <t>Axiata (group)</t>
  </si>
  <si>
    <t>NPLM2</t>
  </si>
  <si>
    <t>Nepal Telecom</t>
  </si>
  <si>
    <t>NPLNM</t>
  </si>
  <si>
    <t>NLDPN, NLDDT, NLDK9, NLDK8</t>
  </si>
  <si>
    <t>NLDLT</t>
  </si>
  <si>
    <t>2degrees</t>
  </si>
  <si>
    <t>2 Degrees</t>
  </si>
  <si>
    <t>NZLNH</t>
  </si>
  <si>
    <t>Spark</t>
  </si>
  <si>
    <t>NZLTM</t>
  </si>
  <si>
    <t>NZLBS</t>
  </si>
  <si>
    <t>Omantel / Oman Mobile</t>
  </si>
  <si>
    <t>Omantel</t>
  </si>
  <si>
    <t>OMNGT</t>
  </si>
  <si>
    <t>VF Oman</t>
  </si>
  <si>
    <t>OMNVF</t>
  </si>
  <si>
    <t>PAKTP</t>
  </si>
  <si>
    <t>SMART</t>
  </si>
  <si>
    <t>Smart</t>
  </si>
  <si>
    <t>PHLSR</t>
  </si>
  <si>
    <t>Play</t>
  </si>
  <si>
    <t>Tollerton, Novator</t>
  </si>
  <si>
    <t>POLP4</t>
  </si>
  <si>
    <t>Plus / Polkomtel</t>
  </si>
  <si>
    <t>Polkomtel (proxy for Aero2)</t>
  </si>
  <si>
    <t>POLK9</t>
  </si>
  <si>
    <t>MYR</t>
  </si>
  <si>
    <t>POL02</t>
  </si>
  <si>
    <t>NOS</t>
  </si>
  <si>
    <t>PRTK8</t>
  </si>
  <si>
    <t>PRTTL</t>
  </si>
  <si>
    <t>QATB1</t>
  </si>
  <si>
    <t>ROMCS, ROMK9</t>
  </si>
  <si>
    <t>ROMMF</t>
  </si>
  <si>
    <t>MTS</t>
  </si>
  <si>
    <t>MTS (group)</t>
  </si>
  <si>
    <t>RUS01</t>
  </si>
  <si>
    <t>T2 Mobile</t>
  </si>
  <si>
    <t>Tele2 Russia</t>
  </si>
  <si>
    <t>RUST2</t>
  </si>
  <si>
    <t>Zain / MTC</t>
  </si>
  <si>
    <t>Zain</t>
  </si>
  <si>
    <t>SAUZN</t>
  </si>
  <si>
    <t>SingTel</t>
  </si>
  <si>
    <t>SGPST, SGPML</t>
  </si>
  <si>
    <t>SGD</t>
  </si>
  <si>
    <t>StarHub</t>
  </si>
  <si>
    <t>SGPMM</t>
  </si>
  <si>
    <t>Simba</t>
  </si>
  <si>
    <t>SGPT1</t>
  </si>
  <si>
    <t>SVKET, SVKK9</t>
  </si>
  <si>
    <t>ZAFVC</t>
  </si>
  <si>
    <t>KTF</t>
  </si>
  <si>
    <t>KORKF</t>
  </si>
  <si>
    <t>SKT</t>
  </si>
  <si>
    <t>SK Telecom</t>
  </si>
  <si>
    <t>KORSK</t>
  </si>
  <si>
    <t>Movistar / Telefonica Espania</t>
  </si>
  <si>
    <t>ESPTE</t>
  </si>
  <si>
    <t>ESPAT</t>
  </si>
  <si>
    <t>Dialog</t>
  </si>
  <si>
    <t>LKADG</t>
  </si>
  <si>
    <t>LKAHT</t>
  </si>
  <si>
    <t>Mobitel</t>
  </si>
  <si>
    <t>LKA71</t>
  </si>
  <si>
    <t>Hutchison 3 / Hi3G</t>
  </si>
  <si>
    <t>SWEK9</t>
  </si>
  <si>
    <t>SWEEP</t>
  </si>
  <si>
    <t>Telenor Connexion</t>
  </si>
  <si>
    <t>SWECN</t>
  </si>
  <si>
    <t>Salt / Orange Communications SA</t>
  </si>
  <si>
    <t>CHEFT</t>
  </si>
  <si>
    <t>Sunrise</t>
  </si>
  <si>
    <t>CHEK7</t>
  </si>
  <si>
    <t>Chunghwa Telecom</t>
  </si>
  <si>
    <t>TWNLD</t>
  </si>
  <si>
    <t>Taiwan Mobile / TCC</t>
  </si>
  <si>
    <t>Taiwan Mobile</t>
  </si>
  <si>
    <t>TWNPC</t>
  </si>
  <si>
    <t>NTD</t>
  </si>
  <si>
    <t>AIS / AWN</t>
  </si>
  <si>
    <t>THAWN, THAAS</t>
  </si>
  <si>
    <t>DTAC</t>
  </si>
  <si>
    <t>THADT, THAWP</t>
  </si>
  <si>
    <t>True Move / Real Future</t>
  </si>
  <si>
    <t>True Move</t>
  </si>
  <si>
    <t>THACA, THACT, THACO</t>
  </si>
  <si>
    <t>Telemor</t>
  </si>
  <si>
    <t>TLSVG</t>
  </si>
  <si>
    <t>TURTS</t>
  </si>
  <si>
    <t>TT Mobil  (TURK Telecom)</t>
  </si>
  <si>
    <t>TURIS,TURAC</t>
  </si>
  <si>
    <t>DU</t>
  </si>
  <si>
    <t>EITC</t>
  </si>
  <si>
    <t>AREDU</t>
  </si>
  <si>
    <t>GBRK7</t>
  </si>
  <si>
    <t>GBRCN</t>
  </si>
  <si>
    <t>GBRVF</t>
  </si>
  <si>
    <t>Lifecell / Astelit</t>
  </si>
  <si>
    <t>Lifecell</t>
  </si>
  <si>
    <t>UKRAS</t>
  </si>
  <si>
    <t>Vodafone (partner network) / TSI LLC</t>
  </si>
  <si>
    <t>UKRUM</t>
  </si>
  <si>
    <t>USACC, USAMF, USAFN</t>
  </si>
  <si>
    <t>Vietnamobile</t>
  </si>
  <si>
    <t>VNMVM</t>
  </si>
  <si>
    <t>VNMVT</t>
  </si>
  <si>
    <t>VinaPhone</t>
  </si>
  <si>
    <t>GPC (VNPT subsidiary)</t>
  </si>
  <si>
    <t>VNMVI</t>
  </si>
  <si>
    <t>American Samoa</t>
  </si>
  <si>
    <t>Andorra</t>
  </si>
  <si>
    <t>Antigua and Barbuda</t>
  </si>
  <si>
    <t>Aruba</t>
  </si>
  <si>
    <t>Ascension</t>
  </si>
  <si>
    <t>Benin</t>
  </si>
  <si>
    <t>Bolivia (Plurinational State of)</t>
  </si>
  <si>
    <t>Bosnia and Herzegovina</t>
  </si>
  <si>
    <t>British Indian Ocean Territory</t>
  </si>
  <si>
    <t>British Virgin Islands</t>
  </si>
  <si>
    <t>Cabo Verde</t>
  </si>
  <si>
    <t>Central African Republic</t>
  </si>
  <si>
    <t>Congo, The Democratic Republic of the</t>
  </si>
  <si>
    <t>Cook Islands</t>
  </si>
  <si>
    <t>Diego Garcia</t>
  </si>
  <si>
    <t>Eswatini</t>
  </si>
  <si>
    <t>Falkland Islands</t>
  </si>
  <si>
    <t>Faroe Islands</t>
  </si>
  <si>
    <t>French Guiana</t>
  </si>
  <si>
    <t>Greenland</t>
  </si>
  <si>
    <t>Grenada</t>
  </si>
  <si>
    <t>Guam</t>
  </si>
  <si>
    <t>Guinea-Bissau</t>
  </si>
  <si>
    <t>Heard Island and McDonald Islands</t>
  </si>
  <si>
    <t>Inmarsat</t>
  </si>
  <si>
    <t>Iran, Islamic Republic of</t>
  </si>
  <si>
    <t>Iridium</t>
  </si>
  <si>
    <t>Kosovo</t>
  </si>
  <si>
    <t>Marshall Islands</t>
  </si>
  <si>
    <t>Micronesia</t>
  </si>
  <si>
    <t>Micronesia, Federated States of</t>
  </si>
  <si>
    <t>Moldova, Republic of</t>
  </si>
  <si>
    <t>Montserrat</t>
  </si>
  <si>
    <t>Nauru</t>
  </si>
  <si>
    <t>Niue</t>
  </si>
  <si>
    <t>Norfolk Island</t>
  </si>
  <si>
    <t>North Macedonia</t>
  </si>
  <si>
    <t>Palestine, State of</t>
  </si>
  <si>
    <t>Saint Helena</t>
  </si>
  <si>
    <t>Saint Pierre and Miquelon</t>
  </si>
  <si>
    <t>Saint Vincent and the Grenadines</t>
  </si>
  <si>
    <t>Samoa</t>
  </si>
  <si>
    <t>Sao Tome and Principe</t>
  </si>
  <si>
    <t>São Tomé and Príncipe</t>
  </si>
  <si>
    <t>South Sudan (Republic of)</t>
  </si>
  <si>
    <t>Sudan (The Republic of)</t>
  </si>
  <si>
    <t>Svalbard and Jan Mayen</t>
  </si>
  <si>
    <t>Syrian Arab Republic</t>
  </si>
  <si>
    <t>Tanzania, United Republic of</t>
  </si>
  <si>
    <t>Thuraya</t>
  </si>
  <si>
    <t>Tonga</t>
  </si>
  <si>
    <t>Trinidad and Tobago</t>
  </si>
  <si>
    <t>Turks and Caicos Islands</t>
  </si>
  <si>
    <t>Tuvalu</t>
  </si>
  <si>
    <t>Vanuatu</t>
  </si>
  <si>
    <t>Vatican City</t>
  </si>
  <si>
    <t>Venezuela, Bolivarian Republic of</t>
  </si>
  <si>
    <t>Wallis and Futuna</t>
  </si>
  <si>
    <t>As at 29-OCT 2025</t>
  </si>
  <si>
    <t>Premium Number</t>
  </si>
  <si>
    <t>Eastel</t>
  </si>
  <si>
    <t>TBC</t>
  </si>
  <si>
    <t>1-300</t>
  </si>
  <si>
    <t>1-800</t>
  </si>
  <si>
    <t>1-700</t>
  </si>
  <si>
    <t>600-81</t>
  </si>
  <si>
    <t>600-82</t>
  </si>
  <si>
    <t>600-83</t>
  </si>
  <si>
    <t>600-84</t>
  </si>
  <si>
    <t>600-85</t>
  </si>
  <si>
    <t>600-86</t>
  </si>
  <si>
    <t>Service Number</t>
  </si>
  <si>
    <t>Civil Defense</t>
  </si>
  <si>
    <t>Fire Brigade</t>
  </si>
  <si>
    <t>Gas Emergency</t>
  </si>
  <si>
    <t>National Scam Response Center (NSRC)</t>
  </si>
  <si>
    <t>Police &amp; Ambulance</t>
  </si>
  <si>
    <t>NUR Hotline</t>
  </si>
  <si>
    <t>Time Announcement</t>
  </si>
  <si>
    <t>Directory Enquiries</t>
  </si>
  <si>
    <t>Tenaga Nasional Berhad</t>
  </si>
  <si>
    <t>03–80008000</t>
  </si>
  <si>
    <t>1 MOCC</t>
  </si>
  <si>
    <t>Voice Mail</t>
  </si>
  <si>
    <t>TM Customer Service</t>
  </si>
  <si>
    <t>Syabas</t>
  </si>
  <si>
    <t>Heal Hotline</t>
  </si>
  <si>
    <t>Price set as at 29 October 2025</t>
  </si>
  <si>
    <t>Domestic Charging Block (ON / OFF NET)</t>
  </si>
  <si>
    <t>➢Data – RM0.10 per 1MB</t>
  </si>
  <si>
    <t xml:space="preserve"> ➢Voice – RM0.20 per block</t>
  </si>
  <si>
    <t xml:space="preserve"> ➢SMS – RM0.10 per SMS</t>
  </si>
  <si>
    <t>Price Set as at 29 October 2025</t>
  </si>
  <si>
    <t>Price Set as at 29 Oct 2025</t>
  </si>
  <si>
    <t>Eastel Charging Rate (MYR/min)</t>
  </si>
  <si>
    <t>Eastel Charging Rate  (MYR/Msg)</t>
  </si>
  <si>
    <t>Eastel Charging Rate  (MYR/GB)</t>
  </si>
  <si>
    <t>Anchor Charging Rate (MYR/minute)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</si>
</sst>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RM&quot;#,##0.00;[Red]\-&quot;RM&quot;#,##0.00"/>
    <numFmt numFmtId="165" formatCode="0.0000"/>
    <numFmt numFmtId="167" formatCode="0.0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8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rgb="FFC0E6F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CC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E6F5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rgb="FFC0E6F5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3" xfId="0" applyBorder="1"/>
    <xf numFmtId="0" fontId="6" fillId="5" borderId="3" xfId="0" applyFont="1" applyFill="1" applyBorder="1"/>
    <xf numFmtId="0" fontId="7" fillId="0" borderId="3" xfId="0" applyFont="1" applyBorder="1"/>
    <xf numFmtId="9" fontId="0" fillId="0" borderId="0" xfId="0" applyNumberFormat="1"/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vertical="center"/>
    </xf>
    <xf numFmtId="0" fontId="5" fillId="6" borderId="3" xfId="0" applyFont="1" applyFill="1" applyBorder="1"/>
    <xf numFmtId="0" fontId="0" fillId="0" borderId="3" xfId="0" applyBorder="1" applyAlignment="1">
      <alignment wrapText="1"/>
    </xf>
    <xf numFmtId="0" fontId="0" fillId="6" borderId="3" xfId="0" applyFill="1" applyBorder="1" applyAlignment="1">
      <alignment horizontal="center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8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vertical="center"/>
    </xf>
    <xf numFmtId="0" fontId="0" fillId="8" borderId="3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/>
    </xf>
    <xf numFmtId="0" fontId="7" fillId="7" borderId="3" xfId="1" applyFont="1" applyFill="1" applyBorder="1" applyAlignment="1">
      <alignment horizontal="left" vertical="center"/>
    </xf>
    <xf numFmtId="0" fontId="7" fillId="7" borderId="3" xfId="1" applyFont="1" applyFill="1" applyBorder="1" applyAlignment="1">
      <alignment horizontal="left" vertical="center" wrapText="1"/>
    </xf>
    <xf numFmtId="0" fontId="7" fillId="7" borderId="3" xfId="1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vertical="center"/>
    </xf>
    <xf numFmtId="0" fontId="7" fillId="7" borderId="3" xfId="2" applyFont="1" applyFill="1" applyBorder="1" applyAlignment="1">
      <alignment vertical="center"/>
    </xf>
    <xf numFmtId="0" fontId="7" fillId="7" borderId="3" xfId="2" applyFont="1" applyFill="1" applyBorder="1" applyAlignment="1">
      <alignment horizontal="left" vertical="center" wrapText="1"/>
    </xf>
    <xf numFmtId="0" fontId="7" fillId="7" borderId="3" xfId="2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vertical="center"/>
    </xf>
    <xf numFmtId="0" fontId="8" fillId="11" borderId="3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11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5" fontId="0" fillId="0" borderId="0" xfId="0" applyNumberFormat="1"/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12" borderId="3" xfId="0" applyFill="1" applyBorder="1"/>
    <xf numFmtId="167" fontId="0" fillId="0" borderId="0" xfId="0" applyNumberFormat="1"/>
    <xf numFmtId="0" fontId="13" fillId="0" borderId="0" xfId="0" applyFont="1"/>
    <xf numFmtId="0" fontId="14" fillId="13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5" fillId="15" borderId="3" xfId="0" applyFont="1" applyFill="1" applyBorder="1" applyAlignment="1">
      <alignment horizontal="center" vertical="center" wrapText="1" readingOrder="1"/>
    </xf>
    <xf numFmtId="164" fontId="0" fillId="0" borderId="3" xfId="0" applyNumberFormat="1" applyBorder="1"/>
    <xf numFmtId="0" fontId="5" fillId="0" borderId="0" xfId="0" applyFont="1"/>
    <xf numFmtId="0" fontId="0" fillId="0" borderId="0" xfId="0" applyAlignment="1">
      <alignment horizontal="center" vertical="center"/>
    </xf>
    <xf numFmtId="2" fontId="11" fillId="0" borderId="0" xfId="0" applyNumberFormat="1" applyFont="1"/>
    <xf numFmtId="2" fontId="12" fillId="12" borderId="3" xfId="0" applyNumberFormat="1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167" fontId="11" fillId="12" borderId="3" xfId="0" applyNumberFormat="1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165" fontId="12" fillId="12" borderId="3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vertical="center"/>
    </xf>
    <xf numFmtId="165" fontId="11" fillId="12" borderId="3" xfId="0" applyNumberFormat="1" applyFont="1" applyFill="1" applyBorder="1" applyAlignment="1">
      <alignment horizontal="center" vertical="center"/>
    </xf>
    <xf numFmtId="165" fontId="11" fillId="12" borderId="3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6" fillId="5" borderId="2" xfId="0" applyFont="1" applyFill="1" applyBorder="1"/>
    <xf numFmtId="2" fontId="11" fillId="12" borderId="3" xfId="0" applyNumberFormat="1" applyFont="1" applyFill="1" applyBorder="1"/>
  </cellXfs>
  <cellStyles count="5">
    <cellStyle name="Bad" xfId="2" builtinId="27"/>
    <cellStyle name="Comma 2" xfId="4" xr:uid="{3F27AE36-D1D6-4325-B025-22DB3398F142}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0BC0-D4F8-4DDF-9259-48F1ED6D2126}">
  <dimension ref="A1:C29"/>
  <sheetViews>
    <sheetView tabSelected="1" workbookViewId="0">
      <selection activeCell="D25" sqref="D25"/>
    </sheetView>
  </sheetViews>
  <sheetFormatPr defaultRowHeight="14.25" x14ac:dyDescent="0.45"/>
  <cols>
    <col min="1" max="1" width="29.1328125" bestFit="1" customWidth="1"/>
    <col min="2" max="2" width="42.46484375" customWidth="1"/>
    <col min="3" max="3" width="21.265625" customWidth="1"/>
  </cols>
  <sheetData>
    <row r="1" spans="1:3" ht="26.65" x14ac:dyDescent="0.85">
      <c r="A1" s="72" t="s">
        <v>582</v>
      </c>
    </row>
    <row r="3" spans="1:3" ht="26.25" x14ac:dyDescent="0.45">
      <c r="A3" s="73" t="s">
        <v>583</v>
      </c>
      <c r="B3" s="74" t="s">
        <v>584</v>
      </c>
    </row>
    <row r="4" spans="1:3" x14ac:dyDescent="0.45">
      <c r="A4" s="75">
        <v>800</v>
      </c>
      <c r="B4" s="1" t="s">
        <v>585</v>
      </c>
    </row>
    <row r="5" spans="1:3" x14ac:dyDescent="0.45">
      <c r="A5" s="75" t="s">
        <v>586</v>
      </c>
      <c r="B5" s="1" t="s">
        <v>5</v>
      </c>
    </row>
    <row r="6" spans="1:3" x14ac:dyDescent="0.45">
      <c r="A6" s="75" t="s">
        <v>587</v>
      </c>
      <c r="B6" s="1" t="s">
        <v>7</v>
      </c>
    </row>
    <row r="7" spans="1:3" x14ac:dyDescent="0.45">
      <c r="A7" s="75" t="s">
        <v>588</v>
      </c>
      <c r="B7" s="1" t="s">
        <v>6</v>
      </c>
    </row>
    <row r="8" spans="1:3" x14ac:dyDescent="0.45">
      <c r="A8" s="75" t="s">
        <v>589</v>
      </c>
      <c r="B8" s="1" t="s">
        <v>585</v>
      </c>
    </row>
    <row r="9" spans="1:3" x14ac:dyDescent="0.45">
      <c r="A9" s="75" t="s">
        <v>590</v>
      </c>
      <c r="B9" s="1" t="s">
        <v>585</v>
      </c>
    </row>
    <row r="10" spans="1:3" x14ac:dyDescent="0.45">
      <c r="A10" s="75" t="s">
        <v>591</v>
      </c>
      <c r="B10" s="1" t="s">
        <v>585</v>
      </c>
    </row>
    <row r="11" spans="1:3" x14ac:dyDescent="0.45">
      <c r="A11" s="75" t="s">
        <v>592</v>
      </c>
      <c r="B11" s="1" t="s">
        <v>585</v>
      </c>
    </row>
    <row r="12" spans="1:3" x14ac:dyDescent="0.45">
      <c r="A12" s="75" t="s">
        <v>593</v>
      </c>
      <c r="B12" s="1" t="s">
        <v>585</v>
      </c>
    </row>
    <row r="13" spans="1:3" x14ac:dyDescent="0.45">
      <c r="A13" s="75" t="s">
        <v>594</v>
      </c>
      <c r="B13" s="1" t="s">
        <v>585</v>
      </c>
    </row>
    <row r="15" spans="1:3" ht="26.25" x14ac:dyDescent="0.45">
      <c r="A15" s="73" t="s">
        <v>595</v>
      </c>
      <c r="B15" s="73"/>
      <c r="C15" s="74" t="s">
        <v>584</v>
      </c>
    </row>
    <row r="16" spans="1:3" x14ac:dyDescent="0.45">
      <c r="A16" s="75">
        <v>991</v>
      </c>
      <c r="B16" s="76" t="s">
        <v>596</v>
      </c>
      <c r="C16" s="1" t="s">
        <v>7</v>
      </c>
    </row>
    <row r="17" spans="1:3" x14ac:dyDescent="0.45">
      <c r="A17" s="75">
        <v>994</v>
      </c>
      <c r="B17" s="76" t="s">
        <v>597</v>
      </c>
      <c r="C17" s="1" t="s">
        <v>7</v>
      </c>
    </row>
    <row r="18" spans="1:3" x14ac:dyDescent="0.45">
      <c r="A18" s="75">
        <v>995</v>
      </c>
      <c r="B18" s="76" t="s">
        <v>598</v>
      </c>
      <c r="C18" s="1" t="s">
        <v>7</v>
      </c>
    </row>
    <row r="19" spans="1:3" x14ac:dyDescent="0.45">
      <c r="A19" s="77">
        <v>997</v>
      </c>
      <c r="B19" s="76" t="s">
        <v>599</v>
      </c>
      <c r="C19" s="1" t="s">
        <v>7</v>
      </c>
    </row>
    <row r="20" spans="1:3" x14ac:dyDescent="0.45">
      <c r="A20" s="75">
        <v>999</v>
      </c>
      <c r="B20" s="76" t="s">
        <v>600</v>
      </c>
      <c r="C20" s="1" t="s">
        <v>7</v>
      </c>
    </row>
    <row r="21" spans="1:3" x14ac:dyDescent="0.45">
      <c r="A21" s="75">
        <v>15999</v>
      </c>
      <c r="B21" s="76" t="s">
        <v>601</v>
      </c>
      <c r="C21" s="78" t="s">
        <v>4</v>
      </c>
    </row>
    <row r="22" spans="1:3" x14ac:dyDescent="0.45">
      <c r="A22" s="75">
        <v>1051</v>
      </c>
      <c r="B22" s="76" t="s">
        <v>602</v>
      </c>
      <c r="C22" s="78" t="s">
        <v>3</v>
      </c>
    </row>
    <row r="23" spans="1:3" x14ac:dyDescent="0.45">
      <c r="A23" s="75">
        <v>103</v>
      </c>
      <c r="B23" s="76" t="s">
        <v>603</v>
      </c>
      <c r="C23" s="1" t="s">
        <v>1</v>
      </c>
    </row>
    <row r="24" spans="1:3" x14ac:dyDescent="0.45">
      <c r="A24" s="75">
        <v>15454</v>
      </c>
      <c r="B24" s="76" t="s">
        <v>604</v>
      </c>
      <c r="C24" s="78" t="s">
        <v>4</v>
      </c>
    </row>
    <row r="25" spans="1:3" x14ac:dyDescent="0.45">
      <c r="A25" s="75" t="s">
        <v>605</v>
      </c>
      <c r="B25" s="76" t="s">
        <v>606</v>
      </c>
      <c r="C25" s="1" t="s">
        <v>585</v>
      </c>
    </row>
    <row r="26" spans="1:3" x14ac:dyDescent="0.45">
      <c r="A26" s="75">
        <v>121</v>
      </c>
      <c r="B26" s="76" t="s">
        <v>607</v>
      </c>
      <c r="C26" s="1" t="s">
        <v>585</v>
      </c>
    </row>
    <row r="27" spans="1:3" x14ac:dyDescent="0.45">
      <c r="A27" s="75">
        <v>100</v>
      </c>
      <c r="B27" s="76" t="s">
        <v>608</v>
      </c>
      <c r="C27" s="1" t="s">
        <v>2</v>
      </c>
    </row>
    <row r="28" spans="1:3" x14ac:dyDescent="0.45">
      <c r="A28" s="75">
        <v>15300</v>
      </c>
      <c r="B28" s="76" t="s">
        <v>609</v>
      </c>
      <c r="C28" s="1" t="s">
        <v>585</v>
      </c>
    </row>
    <row r="29" spans="1:3" x14ac:dyDescent="0.45">
      <c r="A29" s="77">
        <v>15555</v>
      </c>
      <c r="B29" s="76" t="s">
        <v>610</v>
      </c>
      <c r="C29" s="1" t="s">
        <v>585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4C23-1058-4F62-9D95-803D4647B9CF}">
  <dimension ref="A1:B7"/>
  <sheetViews>
    <sheetView workbookViewId="0"/>
  </sheetViews>
  <sheetFormatPr defaultRowHeight="14.25" x14ac:dyDescent="0.45"/>
  <sheetData>
    <row r="1" spans="1:2" ht="23.25" x14ac:dyDescent="0.7">
      <c r="A1" s="93" t="s">
        <v>611</v>
      </c>
    </row>
    <row r="2" spans="1:2" x14ac:dyDescent="0.45">
      <c r="A2" s="79"/>
    </row>
    <row r="3" spans="1:2" x14ac:dyDescent="0.45">
      <c r="B3" s="79" t="s">
        <v>612</v>
      </c>
    </row>
    <row r="4" spans="1:2" x14ac:dyDescent="0.45">
      <c r="B4" s="79"/>
    </row>
    <row r="5" spans="1:2" x14ac:dyDescent="0.45">
      <c r="B5" t="s">
        <v>613</v>
      </c>
    </row>
    <row r="6" spans="1:2" x14ac:dyDescent="0.45">
      <c r="B6" t="s">
        <v>614</v>
      </c>
    </row>
    <row r="7" spans="1:2" x14ac:dyDescent="0.45">
      <c r="B7" t="s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7EC3-D9B9-4BED-A823-D85A6E23359B}">
  <dimension ref="A1:F182"/>
  <sheetViews>
    <sheetView workbookViewId="0">
      <selection activeCell="C1" sqref="C1:C1048576"/>
    </sheetView>
  </sheetViews>
  <sheetFormatPr defaultRowHeight="14.25" x14ac:dyDescent="0.45"/>
  <cols>
    <col min="1" max="1" width="30.53125" bestFit="1" customWidth="1"/>
    <col min="2" max="2" width="18.46484375" customWidth="1"/>
    <col min="3" max="3" width="3.59765625" customWidth="1"/>
    <col min="4" max="4" width="22.86328125" style="80" customWidth="1"/>
    <col min="5" max="5" width="16" customWidth="1"/>
  </cols>
  <sheetData>
    <row r="1" spans="1:6" ht="23.25" x14ac:dyDescent="0.7">
      <c r="A1" s="94" t="s">
        <v>616</v>
      </c>
    </row>
    <row r="2" spans="1:6" ht="28.5" x14ac:dyDescent="0.45">
      <c r="A2" s="2" t="s">
        <v>8</v>
      </c>
      <c r="B2" s="2" t="s">
        <v>9</v>
      </c>
      <c r="D2" s="85" t="s">
        <v>618</v>
      </c>
    </row>
    <row r="3" spans="1:6" x14ac:dyDescent="0.45">
      <c r="A3" s="3" t="s">
        <v>10</v>
      </c>
      <c r="B3" s="3">
        <v>93</v>
      </c>
      <c r="D3" s="84">
        <v>0.88337500000000002</v>
      </c>
    </row>
    <row r="4" spans="1:6" x14ac:dyDescent="0.45">
      <c r="A4" s="3" t="s">
        <v>11</v>
      </c>
      <c r="B4" s="3">
        <v>355</v>
      </c>
      <c r="D4" s="84">
        <v>1.049625</v>
      </c>
      <c r="F4" s="4"/>
    </row>
    <row r="5" spans="1:6" x14ac:dyDescent="0.45">
      <c r="A5" s="3" t="s">
        <v>12</v>
      </c>
      <c r="B5" s="3">
        <v>213</v>
      </c>
      <c r="D5" s="84">
        <v>4.5362499999999999</v>
      </c>
    </row>
    <row r="6" spans="1:6" x14ac:dyDescent="0.45">
      <c r="A6" s="3" t="s">
        <v>13</v>
      </c>
      <c r="B6" s="3">
        <v>244</v>
      </c>
      <c r="D6" s="84">
        <v>2.0422500000000001</v>
      </c>
    </row>
    <row r="7" spans="1:6" x14ac:dyDescent="0.45">
      <c r="A7" s="3" t="s">
        <v>14</v>
      </c>
      <c r="B7" s="3">
        <v>54</v>
      </c>
      <c r="D7" s="84">
        <v>0.17062500000000003</v>
      </c>
    </row>
    <row r="8" spans="1:6" x14ac:dyDescent="0.45">
      <c r="A8" s="3" t="s">
        <v>15</v>
      </c>
      <c r="B8" s="3">
        <v>374</v>
      </c>
      <c r="D8" s="84">
        <v>1.3671249999999999</v>
      </c>
    </row>
    <row r="9" spans="1:6" x14ac:dyDescent="0.45">
      <c r="A9" s="3" t="s">
        <v>16</v>
      </c>
      <c r="B9" s="3">
        <v>61</v>
      </c>
      <c r="D9" s="84">
        <v>7.4749999999999997E-2</v>
      </c>
    </row>
    <row r="10" spans="1:6" x14ac:dyDescent="0.45">
      <c r="A10" s="3" t="s">
        <v>17</v>
      </c>
      <c r="B10" s="3">
        <v>43</v>
      </c>
      <c r="D10" s="84">
        <v>0.666875</v>
      </c>
    </row>
    <row r="11" spans="1:6" x14ac:dyDescent="0.45">
      <c r="A11" s="3" t="s">
        <v>18</v>
      </c>
      <c r="B11" s="3">
        <v>994</v>
      </c>
      <c r="D11" s="84">
        <v>1.5407499999999998</v>
      </c>
    </row>
    <row r="12" spans="1:6" x14ac:dyDescent="0.45">
      <c r="A12" s="3" t="s">
        <v>19</v>
      </c>
      <c r="B12" s="3">
        <v>973</v>
      </c>
      <c r="D12" s="84">
        <v>0.62637500000000002</v>
      </c>
    </row>
    <row r="13" spans="1:6" x14ac:dyDescent="0.45">
      <c r="A13" s="3" t="s">
        <v>20</v>
      </c>
      <c r="B13" s="3">
        <v>880</v>
      </c>
      <c r="D13" s="84">
        <v>9.4750000000000001E-2</v>
      </c>
    </row>
    <row r="14" spans="1:6" x14ac:dyDescent="0.45">
      <c r="A14" s="3" t="s">
        <v>21</v>
      </c>
      <c r="B14" s="3">
        <v>1246</v>
      </c>
      <c r="D14" s="84">
        <v>0.97600000000000009</v>
      </c>
    </row>
    <row r="15" spans="1:6" x14ac:dyDescent="0.45">
      <c r="A15" s="3" t="s">
        <v>22</v>
      </c>
      <c r="B15" s="3">
        <v>375</v>
      </c>
      <c r="D15" s="84">
        <v>2.105</v>
      </c>
    </row>
    <row r="16" spans="1:6" x14ac:dyDescent="0.45">
      <c r="A16" s="3" t="s">
        <v>23</v>
      </c>
      <c r="B16" s="3">
        <v>32</v>
      </c>
      <c r="D16" s="84">
        <v>0.88812500000000005</v>
      </c>
    </row>
    <row r="17" spans="1:4" x14ac:dyDescent="0.45">
      <c r="A17" s="3" t="s">
        <v>24</v>
      </c>
      <c r="B17" s="3">
        <v>501</v>
      </c>
      <c r="D17" s="84">
        <v>1.12025</v>
      </c>
    </row>
    <row r="18" spans="1:4" x14ac:dyDescent="0.45">
      <c r="A18" s="3" t="s">
        <v>25</v>
      </c>
      <c r="B18" s="3">
        <v>975</v>
      </c>
      <c r="D18" s="84">
        <v>0.308</v>
      </c>
    </row>
    <row r="19" spans="1:4" x14ac:dyDescent="0.45">
      <c r="A19" s="3" t="s">
        <v>26</v>
      </c>
      <c r="B19" s="3">
        <v>591</v>
      </c>
      <c r="D19" s="84">
        <v>0.92862500000000003</v>
      </c>
    </row>
    <row r="20" spans="1:4" x14ac:dyDescent="0.45">
      <c r="A20" s="3" t="s">
        <v>27</v>
      </c>
      <c r="B20" s="3">
        <v>387</v>
      </c>
      <c r="D20" s="84">
        <v>1.009125</v>
      </c>
    </row>
    <row r="21" spans="1:4" x14ac:dyDescent="0.45">
      <c r="A21" s="3" t="s">
        <v>28</v>
      </c>
      <c r="B21" s="3">
        <v>267</v>
      </c>
      <c r="D21" s="84">
        <v>1.4901249999999999</v>
      </c>
    </row>
    <row r="22" spans="1:4" x14ac:dyDescent="0.45">
      <c r="A22" s="3" t="s">
        <v>29</v>
      </c>
      <c r="B22" s="3">
        <v>55</v>
      </c>
      <c r="D22" s="84">
        <v>2.2124999999999999E-2</v>
      </c>
    </row>
    <row r="23" spans="1:4" x14ac:dyDescent="0.45">
      <c r="A23" s="3" t="s">
        <v>30</v>
      </c>
      <c r="B23" s="3">
        <v>673</v>
      </c>
      <c r="D23" s="84">
        <v>0.95424999999999993</v>
      </c>
    </row>
    <row r="24" spans="1:4" x14ac:dyDescent="0.45">
      <c r="A24" s="3" t="s">
        <v>31</v>
      </c>
      <c r="B24" s="3">
        <v>359</v>
      </c>
      <c r="D24" s="84">
        <v>1.4656250000000002</v>
      </c>
    </row>
    <row r="25" spans="1:4" x14ac:dyDescent="0.45">
      <c r="A25" s="3" t="s">
        <v>32</v>
      </c>
      <c r="B25" s="3">
        <v>226</v>
      </c>
      <c r="D25" s="84">
        <v>2.2894999999999999</v>
      </c>
    </row>
    <row r="26" spans="1:4" x14ac:dyDescent="0.45">
      <c r="A26" s="3" t="s">
        <v>33</v>
      </c>
      <c r="B26" s="3">
        <v>855</v>
      </c>
      <c r="D26" s="84">
        <v>0.29762500000000003</v>
      </c>
    </row>
    <row r="27" spans="1:4" x14ac:dyDescent="0.45">
      <c r="A27" s="3" t="s">
        <v>34</v>
      </c>
      <c r="B27" s="3">
        <v>237</v>
      </c>
      <c r="D27" s="84">
        <v>1.4569999999999999</v>
      </c>
    </row>
    <row r="28" spans="1:4" x14ac:dyDescent="0.45">
      <c r="A28" s="3" t="s">
        <v>35</v>
      </c>
      <c r="B28" s="3">
        <v>1</v>
      </c>
      <c r="D28" s="84">
        <v>2.5750000000000002E-2</v>
      </c>
    </row>
    <row r="29" spans="1:4" x14ac:dyDescent="0.45">
      <c r="A29" s="3" t="s">
        <v>36</v>
      </c>
      <c r="B29" s="3">
        <v>238</v>
      </c>
      <c r="D29" s="84">
        <v>1.38225</v>
      </c>
    </row>
    <row r="30" spans="1:4" x14ac:dyDescent="0.45">
      <c r="A30" s="3" t="s">
        <v>37</v>
      </c>
      <c r="B30" s="3">
        <v>235</v>
      </c>
      <c r="D30" s="84">
        <v>2.8319999999999999</v>
      </c>
    </row>
    <row r="31" spans="1:4" x14ac:dyDescent="0.45">
      <c r="A31" s="3" t="s">
        <v>38</v>
      </c>
      <c r="B31" s="3">
        <v>56</v>
      </c>
      <c r="D31" s="84">
        <v>5.1124999999999997E-2</v>
      </c>
    </row>
    <row r="32" spans="1:4" x14ac:dyDescent="0.45">
      <c r="A32" s="3" t="s">
        <v>39</v>
      </c>
      <c r="B32" s="3">
        <v>86</v>
      </c>
      <c r="D32" s="84">
        <v>0.1895</v>
      </c>
    </row>
    <row r="33" spans="1:4" x14ac:dyDescent="0.45">
      <c r="A33" s="3" t="s">
        <v>40</v>
      </c>
      <c r="B33" s="3">
        <v>57</v>
      </c>
      <c r="D33" s="84">
        <v>2.0500000000000001E-2</v>
      </c>
    </row>
    <row r="34" spans="1:4" x14ac:dyDescent="0.45">
      <c r="A34" s="3" t="s">
        <v>41</v>
      </c>
      <c r="B34" s="3">
        <v>269</v>
      </c>
      <c r="D34" s="84">
        <v>3.510875</v>
      </c>
    </row>
    <row r="35" spans="1:4" x14ac:dyDescent="0.45">
      <c r="A35" s="3" t="s">
        <v>42</v>
      </c>
      <c r="B35" s="3">
        <v>242</v>
      </c>
      <c r="D35" s="84">
        <v>3.2551249999999996</v>
      </c>
    </row>
    <row r="36" spans="1:4" x14ac:dyDescent="0.45">
      <c r="A36" s="3" t="s">
        <v>43</v>
      </c>
      <c r="B36" s="3">
        <v>506</v>
      </c>
      <c r="D36" s="84">
        <v>0.25600000000000001</v>
      </c>
    </row>
    <row r="37" spans="1:4" x14ac:dyDescent="0.45">
      <c r="A37" s="3" t="s">
        <v>44</v>
      </c>
      <c r="B37" s="3">
        <v>385</v>
      </c>
      <c r="D37" s="84">
        <v>1.731625</v>
      </c>
    </row>
    <row r="38" spans="1:4" x14ac:dyDescent="0.45">
      <c r="A38" s="3" t="s">
        <v>45</v>
      </c>
      <c r="B38" s="3">
        <v>357</v>
      </c>
      <c r="D38" s="84">
        <v>0.81887500000000002</v>
      </c>
    </row>
    <row r="39" spans="1:4" x14ac:dyDescent="0.45">
      <c r="A39" s="3" t="s">
        <v>46</v>
      </c>
      <c r="B39" s="3">
        <v>420</v>
      </c>
      <c r="D39" s="84">
        <v>0.235375</v>
      </c>
    </row>
    <row r="40" spans="1:4" x14ac:dyDescent="0.45">
      <c r="A40" s="3" t="s">
        <v>47</v>
      </c>
      <c r="B40" s="3">
        <v>45</v>
      </c>
      <c r="D40" s="84">
        <v>0.12325</v>
      </c>
    </row>
    <row r="41" spans="1:4" x14ac:dyDescent="0.45">
      <c r="A41" s="3" t="s">
        <v>48</v>
      </c>
      <c r="B41" s="3">
        <v>253</v>
      </c>
      <c r="D41" s="84">
        <v>1.6839999999999999</v>
      </c>
    </row>
    <row r="42" spans="1:4" x14ac:dyDescent="0.45">
      <c r="A42" s="3" t="s">
        <v>49</v>
      </c>
      <c r="B42" s="3">
        <v>1767</v>
      </c>
      <c r="D42" s="84">
        <v>1.2389999999999999</v>
      </c>
    </row>
    <row r="43" spans="1:4" ht="42.75" x14ac:dyDescent="0.45">
      <c r="A43" s="3" t="s">
        <v>50</v>
      </c>
      <c r="B43" s="5" t="s">
        <v>51</v>
      </c>
      <c r="D43" s="84">
        <v>0.52625</v>
      </c>
    </row>
    <row r="44" spans="1:4" x14ac:dyDescent="0.45">
      <c r="A44" s="3" t="s">
        <v>52</v>
      </c>
      <c r="B44" s="3">
        <v>243</v>
      </c>
      <c r="D44" s="84">
        <v>2.3133750000000002</v>
      </c>
    </row>
    <row r="45" spans="1:4" x14ac:dyDescent="0.45">
      <c r="A45" s="3" t="s">
        <v>53</v>
      </c>
      <c r="B45" s="3">
        <v>593</v>
      </c>
      <c r="D45" s="84">
        <v>1.1536250000000001</v>
      </c>
    </row>
    <row r="46" spans="1:4" x14ac:dyDescent="0.45">
      <c r="A46" s="3" t="s">
        <v>54</v>
      </c>
      <c r="B46" s="3">
        <v>20</v>
      </c>
      <c r="D46" s="84">
        <v>0.6845</v>
      </c>
    </row>
    <row r="47" spans="1:4" x14ac:dyDescent="0.45">
      <c r="A47" s="3" t="s">
        <v>55</v>
      </c>
      <c r="B47" s="3">
        <v>503</v>
      </c>
      <c r="D47" s="84">
        <v>0.68587500000000001</v>
      </c>
    </row>
    <row r="48" spans="1:4" x14ac:dyDescent="0.45">
      <c r="A48" s="3" t="s">
        <v>56</v>
      </c>
      <c r="B48" s="3">
        <v>240</v>
      </c>
      <c r="D48" s="84">
        <v>2.804125</v>
      </c>
    </row>
    <row r="49" spans="1:4" x14ac:dyDescent="0.45">
      <c r="A49" s="3" t="s">
        <v>57</v>
      </c>
      <c r="B49" s="3">
        <v>291</v>
      </c>
      <c r="D49" s="84">
        <v>1.2882499999999999</v>
      </c>
    </row>
    <row r="50" spans="1:4" x14ac:dyDescent="0.45">
      <c r="A50" s="3" t="s">
        <v>58</v>
      </c>
      <c r="B50" s="3">
        <v>372</v>
      </c>
      <c r="D50" s="84">
        <v>9.7125000000000003E-2</v>
      </c>
    </row>
    <row r="51" spans="1:4" x14ac:dyDescent="0.45">
      <c r="A51" s="3" t="s">
        <v>59</v>
      </c>
      <c r="B51" s="3">
        <v>251</v>
      </c>
      <c r="D51" s="84">
        <v>1.284375</v>
      </c>
    </row>
    <row r="52" spans="1:4" x14ac:dyDescent="0.45">
      <c r="A52" s="3" t="s">
        <v>60</v>
      </c>
      <c r="B52" s="3">
        <v>679</v>
      </c>
      <c r="D52" s="84">
        <v>1.4208750000000001</v>
      </c>
    </row>
    <row r="53" spans="1:4" x14ac:dyDescent="0.45">
      <c r="A53" s="3" t="s">
        <v>61</v>
      </c>
      <c r="B53" s="3">
        <v>358</v>
      </c>
      <c r="D53" s="84">
        <v>1.8545</v>
      </c>
    </row>
    <row r="54" spans="1:4" x14ac:dyDescent="0.45">
      <c r="A54" s="3" t="s">
        <v>62</v>
      </c>
      <c r="B54" s="3">
        <v>33</v>
      </c>
      <c r="D54" s="84">
        <v>0.8992500000000001</v>
      </c>
    </row>
    <row r="55" spans="1:4" x14ac:dyDescent="0.45">
      <c r="A55" s="3" t="s">
        <v>63</v>
      </c>
      <c r="B55" s="3">
        <v>220</v>
      </c>
      <c r="D55" s="84">
        <v>3.71475</v>
      </c>
    </row>
    <row r="56" spans="1:4" x14ac:dyDescent="0.45">
      <c r="A56" s="3" t="s">
        <v>64</v>
      </c>
      <c r="B56" s="3">
        <v>995</v>
      </c>
      <c r="D56" s="84">
        <v>1.2683749999999998</v>
      </c>
    </row>
    <row r="57" spans="1:4" x14ac:dyDescent="0.45">
      <c r="A57" s="3" t="s">
        <v>65</v>
      </c>
      <c r="B57" s="3">
        <v>49</v>
      </c>
      <c r="D57" s="84">
        <v>5.6298750000000002</v>
      </c>
    </row>
    <row r="58" spans="1:4" x14ac:dyDescent="0.45">
      <c r="A58" s="3" t="s">
        <v>66</v>
      </c>
      <c r="B58" s="3">
        <v>233</v>
      </c>
      <c r="D58" s="84">
        <v>1.5567500000000001</v>
      </c>
    </row>
    <row r="59" spans="1:4" x14ac:dyDescent="0.45">
      <c r="A59" s="3" t="s">
        <v>67</v>
      </c>
      <c r="B59" s="3">
        <v>350</v>
      </c>
      <c r="D59" s="84">
        <v>1.2222500000000001</v>
      </c>
    </row>
    <row r="60" spans="1:4" x14ac:dyDescent="0.45">
      <c r="A60" s="3" t="s">
        <v>68</v>
      </c>
      <c r="B60" s="3">
        <v>881</v>
      </c>
      <c r="D60" s="84">
        <v>13.498374999999999</v>
      </c>
    </row>
    <row r="61" spans="1:4" x14ac:dyDescent="0.45">
      <c r="A61" s="3" t="s">
        <v>69</v>
      </c>
      <c r="B61" s="3">
        <v>30</v>
      </c>
      <c r="D61" s="84">
        <v>0.30399999999999999</v>
      </c>
    </row>
    <row r="62" spans="1:4" x14ac:dyDescent="0.45">
      <c r="A62" s="3" t="s">
        <v>70</v>
      </c>
      <c r="B62" s="3">
        <v>502</v>
      </c>
      <c r="D62" s="84">
        <v>0.84762500000000007</v>
      </c>
    </row>
    <row r="63" spans="1:4" x14ac:dyDescent="0.45">
      <c r="A63" s="3" t="s">
        <v>71</v>
      </c>
      <c r="B63" s="3">
        <v>224</v>
      </c>
      <c r="D63" s="84">
        <v>2.5863750000000003</v>
      </c>
    </row>
    <row r="64" spans="1:4" x14ac:dyDescent="0.45">
      <c r="A64" s="3" t="s">
        <v>72</v>
      </c>
      <c r="B64" s="3">
        <v>592</v>
      </c>
      <c r="D64" s="84">
        <v>1.2170000000000001</v>
      </c>
    </row>
    <row r="65" spans="1:4" x14ac:dyDescent="0.45">
      <c r="A65" s="3" t="s">
        <v>73</v>
      </c>
      <c r="B65" s="3">
        <v>504</v>
      </c>
      <c r="D65" s="84">
        <v>0.79937499999999995</v>
      </c>
    </row>
    <row r="66" spans="1:4" x14ac:dyDescent="0.45">
      <c r="A66" s="3" t="s">
        <v>74</v>
      </c>
      <c r="B66" s="3">
        <v>852</v>
      </c>
      <c r="D66" s="84">
        <v>0.13325000000000001</v>
      </c>
    </row>
    <row r="67" spans="1:4" x14ac:dyDescent="0.45">
      <c r="A67" s="3" t="s">
        <v>75</v>
      </c>
      <c r="B67" s="3">
        <v>36</v>
      </c>
      <c r="D67" s="84">
        <v>0.29349999999999998</v>
      </c>
    </row>
    <row r="68" spans="1:4" x14ac:dyDescent="0.45">
      <c r="A68" s="3" t="s">
        <v>76</v>
      </c>
      <c r="B68" s="3">
        <v>354</v>
      </c>
      <c r="D68" s="84">
        <v>6.8750000000000006E-2</v>
      </c>
    </row>
    <row r="69" spans="1:4" x14ac:dyDescent="0.45">
      <c r="A69" s="3" t="s">
        <v>77</v>
      </c>
      <c r="B69" s="3">
        <v>91</v>
      </c>
      <c r="D69" s="84">
        <v>0.10087499999999999</v>
      </c>
    </row>
    <row r="70" spans="1:4" x14ac:dyDescent="0.45">
      <c r="A70" s="3" t="s">
        <v>78</v>
      </c>
      <c r="B70" s="3">
        <v>62</v>
      </c>
      <c r="D70" s="84">
        <v>0.19712499999999999</v>
      </c>
    </row>
    <row r="71" spans="1:4" x14ac:dyDescent="0.45">
      <c r="A71" s="3" t="s">
        <v>79</v>
      </c>
      <c r="B71" s="3">
        <v>870</v>
      </c>
      <c r="D71" s="84">
        <v>16.344749999999998</v>
      </c>
    </row>
    <row r="72" spans="1:4" ht="28.5" x14ac:dyDescent="0.45">
      <c r="A72" s="6" t="s">
        <v>80</v>
      </c>
      <c r="B72" s="5" t="s">
        <v>81</v>
      </c>
      <c r="D72" s="84">
        <v>8.4621250000000003</v>
      </c>
    </row>
    <row r="73" spans="1:4" x14ac:dyDescent="0.45">
      <c r="A73" s="3" t="s">
        <v>82</v>
      </c>
      <c r="B73" s="3">
        <v>98</v>
      </c>
      <c r="D73" s="84">
        <v>0.95562499999999995</v>
      </c>
    </row>
    <row r="74" spans="1:4" x14ac:dyDescent="0.45">
      <c r="A74" s="3" t="s">
        <v>83</v>
      </c>
      <c r="B74" s="3">
        <v>964</v>
      </c>
      <c r="D74" s="84">
        <v>1.08775</v>
      </c>
    </row>
    <row r="75" spans="1:4" x14ac:dyDescent="0.45">
      <c r="A75" s="3" t="s">
        <v>84</v>
      </c>
      <c r="B75" s="3">
        <v>353</v>
      </c>
      <c r="D75" s="84">
        <v>1.9397500000000001</v>
      </c>
    </row>
    <row r="76" spans="1:4" x14ac:dyDescent="0.45">
      <c r="A76" s="3" t="s">
        <v>85</v>
      </c>
      <c r="B76" s="3">
        <v>972</v>
      </c>
      <c r="D76" s="84">
        <v>1.2559999999999998</v>
      </c>
    </row>
    <row r="77" spans="1:4" x14ac:dyDescent="0.45">
      <c r="A77" s="3" t="s">
        <v>86</v>
      </c>
      <c r="B77" s="3">
        <v>39</v>
      </c>
      <c r="D77" s="84">
        <v>0.78700000000000003</v>
      </c>
    </row>
    <row r="78" spans="1:4" x14ac:dyDescent="0.45">
      <c r="A78" s="3" t="s">
        <v>87</v>
      </c>
      <c r="B78" s="3">
        <v>225</v>
      </c>
      <c r="D78" s="84">
        <v>1.9500000000000002</v>
      </c>
    </row>
    <row r="79" spans="1:4" x14ac:dyDescent="0.45">
      <c r="A79" s="3" t="s">
        <v>88</v>
      </c>
      <c r="B79" s="3">
        <v>1876</v>
      </c>
      <c r="D79" s="84">
        <v>1.7388749999999999</v>
      </c>
    </row>
    <row r="80" spans="1:4" x14ac:dyDescent="0.45">
      <c r="A80" s="3" t="s">
        <v>89</v>
      </c>
      <c r="B80" s="3">
        <v>81</v>
      </c>
      <c r="D80" s="84">
        <v>0.16350000000000001</v>
      </c>
    </row>
    <row r="81" spans="1:4" x14ac:dyDescent="0.45">
      <c r="A81" s="3" t="s">
        <v>90</v>
      </c>
      <c r="B81" s="3">
        <v>962</v>
      </c>
      <c r="D81" s="84">
        <v>0.88612499999999994</v>
      </c>
    </row>
    <row r="82" spans="1:4" x14ac:dyDescent="0.45">
      <c r="A82" s="3" t="s">
        <v>91</v>
      </c>
      <c r="B82" s="3">
        <v>7</v>
      </c>
      <c r="D82" s="84">
        <v>0.76649999999999996</v>
      </c>
    </row>
    <row r="83" spans="1:4" x14ac:dyDescent="0.45">
      <c r="A83" s="3" t="s">
        <v>92</v>
      </c>
      <c r="B83" s="3">
        <v>254</v>
      </c>
      <c r="D83" s="84">
        <v>0.98287499999999994</v>
      </c>
    </row>
    <row r="84" spans="1:4" x14ac:dyDescent="0.45">
      <c r="A84" s="3" t="s">
        <v>93</v>
      </c>
      <c r="B84" s="3">
        <v>686</v>
      </c>
      <c r="D84" s="84">
        <v>7.9568750000000001</v>
      </c>
    </row>
    <row r="85" spans="1:4" x14ac:dyDescent="0.45">
      <c r="A85" s="3" t="s">
        <v>94</v>
      </c>
      <c r="B85" s="3">
        <v>965</v>
      </c>
      <c r="D85" s="84">
        <v>0.26724999999999999</v>
      </c>
    </row>
    <row r="86" spans="1:4" x14ac:dyDescent="0.45">
      <c r="A86" s="3" t="s">
        <v>95</v>
      </c>
      <c r="B86" s="3">
        <v>996</v>
      </c>
      <c r="D86" s="84">
        <v>1.0906250000000002</v>
      </c>
    </row>
    <row r="87" spans="1:4" x14ac:dyDescent="0.45">
      <c r="A87" s="3" t="s">
        <v>96</v>
      </c>
      <c r="B87" s="3">
        <v>856</v>
      </c>
      <c r="D87" s="84">
        <v>0.38462499999999999</v>
      </c>
    </row>
    <row r="88" spans="1:4" x14ac:dyDescent="0.45">
      <c r="A88" s="3" t="s">
        <v>97</v>
      </c>
      <c r="B88" s="3">
        <v>371</v>
      </c>
      <c r="D88" s="84">
        <v>1.68825</v>
      </c>
    </row>
    <row r="89" spans="1:4" x14ac:dyDescent="0.45">
      <c r="A89" s="3" t="s">
        <v>98</v>
      </c>
      <c r="B89" s="3">
        <v>961</v>
      </c>
      <c r="D89" s="84">
        <v>0.55662499999999993</v>
      </c>
    </row>
    <row r="90" spans="1:4" x14ac:dyDescent="0.45">
      <c r="A90" s="3" t="s">
        <v>99</v>
      </c>
      <c r="B90" s="3">
        <v>231</v>
      </c>
      <c r="D90" s="84">
        <v>2.2432499999999997</v>
      </c>
    </row>
    <row r="91" spans="1:4" x14ac:dyDescent="0.45">
      <c r="A91" s="3" t="s">
        <v>100</v>
      </c>
      <c r="B91" s="3">
        <v>218</v>
      </c>
      <c r="D91" s="84">
        <v>1.5173749999999999</v>
      </c>
    </row>
    <row r="92" spans="1:4" x14ac:dyDescent="0.45">
      <c r="A92" s="3" t="s">
        <v>101</v>
      </c>
      <c r="B92" s="3">
        <v>423</v>
      </c>
      <c r="D92" s="84">
        <v>0.31574999999999998</v>
      </c>
    </row>
    <row r="93" spans="1:4" x14ac:dyDescent="0.45">
      <c r="A93" s="3" t="s">
        <v>102</v>
      </c>
      <c r="B93" s="3">
        <v>370</v>
      </c>
      <c r="D93" s="84">
        <v>1.7846249999999999</v>
      </c>
    </row>
    <row r="94" spans="1:4" x14ac:dyDescent="0.45">
      <c r="A94" s="3" t="s">
        <v>103</v>
      </c>
      <c r="B94" s="3">
        <v>352</v>
      </c>
      <c r="D94" s="84">
        <v>1.41875</v>
      </c>
    </row>
    <row r="95" spans="1:4" x14ac:dyDescent="0.45">
      <c r="A95" s="3" t="s">
        <v>104</v>
      </c>
      <c r="B95" s="3">
        <v>853</v>
      </c>
      <c r="D95" s="84">
        <v>0.51087499999999997</v>
      </c>
    </row>
    <row r="96" spans="1:4" x14ac:dyDescent="0.45">
      <c r="A96" s="3" t="s">
        <v>105</v>
      </c>
      <c r="B96" s="3">
        <v>389</v>
      </c>
      <c r="D96" s="84">
        <v>0.84199999999999997</v>
      </c>
    </row>
    <row r="97" spans="1:4" x14ac:dyDescent="0.45">
      <c r="A97" s="3" t="s">
        <v>106</v>
      </c>
      <c r="B97" s="3">
        <v>261</v>
      </c>
      <c r="D97" s="84">
        <v>3.5047499999999996</v>
      </c>
    </row>
    <row r="98" spans="1:4" x14ac:dyDescent="0.45">
      <c r="A98" s="3" t="s">
        <v>107</v>
      </c>
      <c r="B98" s="3">
        <v>265</v>
      </c>
      <c r="D98" s="84">
        <v>2.3547500000000001</v>
      </c>
    </row>
    <row r="99" spans="1:4" x14ac:dyDescent="0.45">
      <c r="A99" s="3" t="s">
        <v>108</v>
      </c>
      <c r="B99" s="3">
        <v>60</v>
      </c>
      <c r="D99" s="84">
        <v>2.9499999999999998E-2</v>
      </c>
    </row>
    <row r="100" spans="1:4" x14ac:dyDescent="0.45">
      <c r="A100" s="3" t="s">
        <v>109</v>
      </c>
      <c r="B100" s="3">
        <v>960</v>
      </c>
      <c r="D100" s="84">
        <v>4.4634999999999998</v>
      </c>
    </row>
    <row r="101" spans="1:4" x14ac:dyDescent="0.45">
      <c r="A101" s="3" t="s">
        <v>110</v>
      </c>
      <c r="B101" s="3">
        <v>223</v>
      </c>
      <c r="D101" s="84">
        <v>2.2857500000000002</v>
      </c>
    </row>
    <row r="102" spans="1:4" x14ac:dyDescent="0.45">
      <c r="A102" s="3" t="s">
        <v>111</v>
      </c>
      <c r="B102" s="3">
        <v>356</v>
      </c>
      <c r="D102" s="84">
        <v>2.8328750000000005</v>
      </c>
    </row>
    <row r="103" spans="1:4" x14ac:dyDescent="0.45">
      <c r="A103" s="3" t="s">
        <v>112</v>
      </c>
      <c r="B103" s="3">
        <v>222</v>
      </c>
      <c r="D103" s="84">
        <v>3.7484999999999999</v>
      </c>
    </row>
    <row r="104" spans="1:4" x14ac:dyDescent="0.45">
      <c r="A104" s="3" t="s">
        <v>113</v>
      </c>
      <c r="B104" s="3">
        <v>230</v>
      </c>
      <c r="D104" s="84">
        <v>0.86025000000000007</v>
      </c>
    </row>
    <row r="105" spans="1:4" x14ac:dyDescent="0.45">
      <c r="A105" s="3" t="s">
        <v>114</v>
      </c>
      <c r="B105" s="3">
        <v>52</v>
      </c>
      <c r="D105" s="84">
        <v>2.7125E-2</v>
      </c>
    </row>
    <row r="106" spans="1:4" x14ac:dyDescent="0.45">
      <c r="A106" s="3" t="s">
        <v>115</v>
      </c>
      <c r="B106" s="3">
        <v>373</v>
      </c>
      <c r="D106" s="84">
        <v>1.8243750000000001</v>
      </c>
    </row>
    <row r="107" spans="1:4" x14ac:dyDescent="0.45">
      <c r="A107" s="3" t="s">
        <v>116</v>
      </c>
      <c r="B107" s="3">
        <v>976</v>
      </c>
      <c r="D107" s="84">
        <v>7.4749999999999997E-2</v>
      </c>
    </row>
    <row r="108" spans="1:4" x14ac:dyDescent="0.45">
      <c r="A108" s="3" t="s">
        <v>117</v>
      </c>
      <c r="B108" s="3">
        <v>382</v>
      </c>
      <c r="D108" s="84">
        <v>2.3558750000000002</v>
      </c>
    </row>
    <row r="109" spans="1:4" x14ac:dyDescent="0.45">
      <c r="A109" s="3" t="s">
        <v>118</v>
      </c>
      <c r="B109" s="3">
        <v>212</v>
      </c>
      <c r="D109" s="84">
        <v>2.812875</v>
      </c>
    </row>
    <row r="110" spans="1:4" x14ac:dyDescent="0.45">
      <c r="A110" s="3" t="s">
        <v>119</v>
      </c>
      <c r="B110" s="3">
        <v>258</v>
      </c>
      <c r="D110" s="84">
        <v>1.4161250000000001</v>
      </c>
    </row>
    <row r="111" spans="1:4" x14ac:dyDescent="0.45">
      <c r="A111" s="3" t="s">
        <v>120</v>
      </c>
      <c r="B111" s="3">
        <v>95</v>
      </c>
      <c r="D111" s="84">
        <v>0.53687499999999999</v>
      </c>
    </row>
    <row r="112" spans="1:4" x14ac:dyDescent="0.45">
      <c r="A112" s="3" t="s">
        <v>121</v>
      </c>
      <c r="B112" s="3">
        <v>264</v>
      </c>
      <c r="D112" s="84">
        <v>0.77637500000000004</v>
      </c>
    </row>
    <row r="113" spans="1:4" x14ac:dyDescent="0.45">
      <c r="A113" s="3" t="s">
        <v>122</v>
      </c>
      <c r="B113" s="3">
        <v>977</v>
      </c>
      <c r="D113" s="84">
        <v>0.75249999999999995</v>
      </c>
    </row>
    <row r="114" spans="1:4" x14ac:dyDescent="0.45">
      <c r="A114" s="3" t="s">
        <v>123</v>
      </c>
      <c r="B114" s="3">
        <v>31</v>
      </c>
      <c r="D114" s="84">
        <v>1.4088750000000001</v>
      </c>
    </row>
    <row r="115" spans="1:4" x14ac:dyDescent="0.45">
      <c r="A115" s="3" t="s">
        <v>124</v>
      </c>
      <c r="B115" s="3">
        <v>687</v>
      </c>
      <c r="D115" s="84">
        <v>1.6447500000000002</v>
      </c>
    </row>
    <row r="116" spans="1:4" x14ac:dyDescent="0.45">
      <c r="A116" s="3" t="s">
        <v>125</v>
      </c>
      <c r="B116" s="3">
        <v>64</v>
      </c>
      <c r="D116" s="84">
        <v>0.15175</v>
      </c>
    </row>
    <row r="117" spans="1:4" x14ac:dyDescent="0.45">
      <c r="A117" s="3" t="s">
        <v>126</v>
      </c>
      <c r="B117" s="3">
        <v>505</v>
      </c>
      <c r="D117" s="84">
        <v>1.3341249999999998</v>
      </c>
    </row>
    <row r="118" spans="1:4" x14ac:dyDescent="0.45">
      <c r="A118" s="3" t="s">
        <v>127</v>
      </c>
      <c r="B118" s="3">
        <v>227</v>
      </c>
      <c r="D118" s="84">
        <v>1.70675</v>
      </c>
    </row>
    <row r="119" spans="1:4" x14ac:dyDescent="0.45">
      <c r="A119" s="3" t="s">
        <v>128</v>
      </c>
      <c r="B119" s="3">
        <v>234</v>
      </c>
      <c r="D119" s="84">
        <v>0.67549999999999999</v>
      </c>
    </row>
    <row r="120" spans="1:4" x14ac:dyDescent="0.45">
      <c r="A120" s="3" t="s">
        <v>129</v>
      </c>
      <c r="B120" s="3">
        <v>850</v>
      </c>
      <c r="D120" s="84">
        <v>3.4631250000000002</v>
      </c>
    </row>
    <row r="121" spans="1:4" x14ac:dyDescent="0.45">
      <c r="A121" s="3" t="s">
        <v>130</v>
      </c>
      <c r="B121" s="3">
        <v>47</v>
      </c>
      <c r="D121" s="84">
        <v>4.0625000000000001E-2</v>
      </c>
    </row>
    <row r="122" spans="1:4" x14ac:dyDescent="0.45">
      <c r="A122" s="3" t="s">
        <v>131</v>
      </c>
      <c r="B122" s="3">
        <v>968</v>
      </c>
      <c r="D122" s="84">
        <v>1.1256249999999999</v>
      </c>
    </row>
    <row r="123" spans="1:4" x14ac:dyDescent="0.45">
      <c r="A123" s="3" t="s">
        <v>132</v>
      </c>
      <c r="B123" s="3">
        <v>92</v>
      </c>
      <c r="D123" s="84">
        <v>0.21749999999999997</v>
      </c>
    </row>
    <row r="124" spans="1:4" x14ac:dyDescent="0.45">
      <c r="A124" s="3" t="s">
        <v>133</v>
      </c>
      <c r="B124" s="3">
        <v>970</v>
      </c>
      <c r="D124" s="84">
        <v>1.35425</v>
      </c>
    </row>
    <row r="125" spans="1:4" x14ac:dyDescent="0.45">
      <c r="A125" s="3" t="s">
        <v>134</v>
      </c>
      <c r="B125" s="3">
        <v>507</v>
      </c>
      <c r="D125" s="84">
        <v>0.20912500000000001</v>
      </c>
    </row>
    <row r="126" spans="1:4" x14ac:dyDescent="0.45">
      <c r="A126" s="3" t="s">
        <v>135</v>
      </c>
      <c r="B126" s="3">
        <v>675</v>
      </c>
      <c r="D126" s="84">
        <v>6.03125</v>
      </c>
    </row>
    <row r="127" spans="1:4" x14ac:dyDescent="0.45">
      <c r="A127" s="3" t="s">
        <v>136</v>
      </c>
      <c r="B127" s="3">
        <v>595</v>
      </c>
      <c r="D127" s="84">
        <v>0.22862500000000002</v>
      </c>
    </row>
    <row r="128" spans="1:4" x14ac:dyDescent="0.45">
      <c r="A128" s="3" t="s">
        <v>137</v>
      </c>
      <c r="B128" s="3">
        <v>51</v>
      </c>
      <c r="D128" s="84">
        <v>2.0125000000000001E-2</v>
      </c>
    </row>
    <row r="129" spans="1:4" x14ac:dyDescent="0.45">
      <c r="A129" s="3" t="s">
        <v>138</v>
      </c>
      <c r="B129" s="3">
        <v>63</v>
      </c>
      <c r="D129" s="84">
        <v>0.52437500000000004</v>
      </c>
    </row>
    <row r="130" spans="1:4" x14ac:dyDescent="0.45">
      <c r="A130" s="3" t="s">
        <v>139</v>
      </c>
      <c r="B130" s="3">
        <v>48</v>
      </c>
      <c r="D130" s="84">
        <v>0.605375</v>
      </c>
    </row>
    <row r="131" spans="1:4" x14ac:dyDescent="0.45">
      <c r="A131" s="3" t="s">
        <v>140</v>
      </c>
      <c r="B131" s="3">
        <v>351</v>
      </c>
      <c r="D131" s="84">
        <v>1.9608749999999999</v>
      </c>
    </row>
    <row r="132" spans="1:4" ht="28.5" x14ac:dyDescent="0.45">
      <c r="A132" s="3" t="s">
        <v>141</v>
      </c>
      <c r="B132" s="5" t="s">
        <v>142</v>
      </c>
      <c r="D132" s="84">
        <v>1.3749999999999998E-2</v>
      </c>
    </row>
    <row r="133" spans="1:4" x14ac:dyDescent="0.45">
      <c r="A133" s="3" t="s">
        <v>143</v>
      </c>
      <c r="B133" s="3">
        <v>974</v>
      </c>
      <c r="D133" s="84">
        <v>0.84387500000000004</v>
      </c>
    </row>
    <row r="134" spans="1:4" x14ac:dyDescent="0.45">
      <c r="A134" s="3" t="s">
        <v>144</v>
      </c>
      <c r="B134" s="3">
        <v>262</v>
      </c>
      <c r="D134" s="84">
        <v>2.11775</v>
      </c>
    </row>
    <row r="135" spans="1:4" x14ac:dyDescent="0.45">
      <c r="A135" s="3" t="s">
        <v>145</v>
      </c>
      <c r="B135" s="3">
        <v>40</v>
      </c>
      <c r="D135" s="84">
        <v>2.3E-2</v>
      </c>
    </row>
    <row r="136" spans="1:4" x14ac:dyDescent="0.45">
      <c r="A136" s="3" t="s">
        <v>146</v>
      </c>
      <c r="B136" s="3">
        <v>7</v>
      </c>
      <c r="D136" s="84">
        <v>1.4124999999999999</v>
      </c>
    </row>
    <row r="137" spans="1:4" x14ac:dyDescent="0.45">
      <c r="A137" s="3" t="s">
        <v>147</v>
      </c>
      <c r="B137" s="3">
        <v>250</v>
      </c>
      <c r="D137" s="84">
        <v>1.519625</v>
      </c>
    </row>
    <row r="138" spans="1:4" x14ac:dyDescent="0.45">
      <c r="A138" s="3" t="s">
        <v>148</v>
      </c>
      <c r="B138" s="3">
        <v>1869</v>
      </c>
      <c r="D138" s="84">
        <v>1.2629999999999999</v>
      </c>
    </row>
    <row r="139" spans="1:4" x14ac:dyDescent="0.45">
      <c r="A139" s="3" t="s">
        <v>149</v>
      </c>
      <c r="B139" s="3">
        <v>1758</v>
      </c>
      <c r="D139" s="84">
        <v>1.2629999999999999</v>
      </c>
    </row>
    <row r="140" spans="1:4" x14ac:dyDescent="0.45">
      <c r="A140" s="3" t="s">
        <v>150</v>
      </c>
      <c r="B140" s="3">
        <v>378</v>
      </c>
      <c r="D140" s="84">
        <v>0.63149999999999995</v>
      </c>
    </row>
    <row r="141" spans="1:4" x14ac:dyDescent="0.45">
      <c r="A141" s="3" t="s">
        <v>151</v>
      </c>
      <c r="B141" s="3">
        <v>966</v>
      </c>
      <c r="D141" s="84">
        <v>1.5297499999999999</v>
      </c>
    </row>
    <row r="142" spans="1:4" x14ac:dyDescent="0.45">
      <c r="A142" s="3" t="s">
        <v>152</v>
      </c>
      <c r="B142" s="3">
        <v>221</v>
      </c>
      <c r="D142" s="84">
        <v>1.938625</v>
      </c>
    </row>
    <row r="143" spans="1:4" x14ac:dyDescent="0.45">
      <c r="A143" s="3" t="s">
        <v>153</v>
      </c>
      <c r="B143" s="3">
        <v>381</v>
      </c>
      <c r="D143" s="84">
        <v>1.6835</v>
      </c>
    </row>
    <row r="144" spans="1:4" x14ac:dyDescent="0.45">
      <c r="A144" s="3" t="s">
        <v>154</v>
      </c>
      <c r="B144" s="3">
        <v>65</v>
      </c>
      <c r="D144" s="84">
        <v>6.5375000000000003E-2</v>
      </c>
    </row>
    <row r="145" spans="1:4" x14ac:dyDescent="0.45">
      <c r="A145" s="3" t="s">
        <v>155</v>
      </c>
      <c r="B145" s="3">
        <v>421</v>
      </c>
      <c r="D145" s="84">
        <v>0.395125</v>
      </c>
    </row>
    <row r="146" spans="1:4" x14ac:dyDescent="0.45">
      <c r="A146" s="3" t="s">
        <v>156</v>
      </c>
      <c r="B146" s="3">
        <v>386</v>
      </c>
      <c r="D146" s="84">
        <v>1.4081250000000001</v>
      </c>
    </row>
    <row r="147" spans="1:4" x14ac:dyDescent="0.45">
      <c r="A147" s="3" t="s">
        <v>157</v>
      </c>
      <c r="B147" s="3">
        <v>252</v>
      </c>
      <c r="D147" s="84">
        <v>1.7995000000000001</v>
      </c>
    </row>
    <row r="148" spans="1:4" x14ac:dyDescent="0.45">
      <c r="A148" s="3" t="s">
        <v>158</v>
      </c>
      <c r="B148" s="3">
        <v>27</v>
      </c>
      <c r="D148" s="84">
        <v>1.13625</v>
      </c>
    </row>
    <row r="149" spans="1:4" x14ac:dyDescent="0.45">
      <c r="A149" s="3" t="s">
        <v>159</v>
      </c>
      <c r="B149" s="3">
        <v>82</v>
      </c>
      <c r="D149" s="84">
        <v>0.22287499999999999</v>
      </c>
    </row>
    <row r="150" spans="1:4" x14ac:dyDescent="0.45">
      <c r="A150" s="3" t="s">
        <v>160</v>
      </c>
      <c r="B150" s="3">
        <v>211</v>
      </c>
      <c r="D150" s="84">
        <v>2.8574999999999999</v>
      </c>
    </row>
    <row r="151" spans="1:4" x14ac:dyDescent="0.45">
      <c r="A151" s="3" t="s">
        <v>161</v>
      </c>
      <c r="B151" s="3">
        <v>34</v>
      </c>
      <c r="D151" s="84">
        <v>3.2682499999999997</v>
      </c>
    </row>
    <row r="152" spans="1:4" x14ac:dyDescent="0.45">
      <c r="A152" s="3" t="s">
        <v>162</v>
      </c>
      <c r="B152" s="3">
        <v>94</v>
      </c>
      <c r="D152" s="84">
        <v>0.82162500000000005</v>
      </c>
    </row>
    <row r="153" spans="1:4" x14ac:dyDescent="0.45">
      <c r="A153" s="3" t="s">
        <v>163</v>
      </c>
      <c r="B153" s="3">
        <v>249</v>
      </c>
      <c r="D153" s="84">
        <v>1.8431249999999999</v>
      </c>
    </row>
    <row r="154" spans="1:4" x14ac:dyDescent="0.45">
      <c r="A154" s="3" t="s">
        <v>164</v>
      </c>
      <c r="B154" s="3">
        <v>597</v>
      </c>
      <c r="D154" s="84">
        <v>1.7682500000000001</v>
      </c>
    </row>
    <row r="155" spans="1:4" x14ac:dyDescent="0.45">
      <c r="A155" s="3" t="s">
        <v>165</v>
      </c>
      <c r="B155" s="3">
        <v>268</v>
      </c>
      <c r="D155" s="84">
        <v>1.09775</v>
      </c>
    </row>
    <row r="156" spans="1:4" x14ac:dyDescent="0.45">
      <c r="A156" s="3" t="s">
        <v>166</v>
      </c>
      <c r="B156" s="3">
        <v>46</v>
      </c>
      <c r="D156" s="84">
        <v>0.23724999999999999</v>
      </c>
    </row>
    <row r="157" spans="1:4" x14ac:dyDescent="0.45">
      <c r="A157" s="3" t="s">
        <v>167</v>
      </c>
      <c r="B157" s="3">
        <v>41</v>
      </c>
      <c r="D157" s="84">
        <v>0.72825000000000006</v>
      </c>
    </row>
    <row r="158" spans="1:4" x14ac:dyDescent="0.45">
      <c r="A158" s="3" t="s">
        <v>168</v>
      </c>
      <c r="B158" s="3">
        <v>963</v>
      </c>
      <c r="D158" s="84">
        <v>2.2765</v>
      </c>
    </row>
    <row r="159" spans="1:4" x14ac:dyDescent="0.45">
      <c r="A159" s="3" t="s">
        <v>169</v>
      </c>
      <c r="B159" s="3">
        <v>886</v>
      </c>
      <c r="D159" s="84">
        <v>0.24049999999999999</v>
      </c>
    </row>
    <row r="160" spans="1:4" x14ac:dyDescent="0.45">
      <c r="A160" s="3" t="s">
        <v>170</v>
      </c>
      <c r="B160" s="3">
        <v>992</v>
      </c>
      <c r="D160" s="84">
        <v>1.063625</v>
      </c>
    </row>
    <row r="161" spans="1:4" x14ac:dyDescent="0.45">
      <c r="A161" s="3" t="s">
        <v>171</v>
      </c>
      <c r="B161" s="3">
        <v>255</v>
      </c>
      <c r="D161" s="84">
        <v>1.4886250000000001</v>
      </c>
    </row>
    <row r="162" spans="1:4" x14ac:dyDescent="0.45">
      <c r="A162" s="3" t="s">
        <v>172</v>
      </c>
      <c r="B162" s="3">
        <v>66</v>
      </c>
      <c r="D162" s="84">
        <v>0.25624999999999998</v>
      </c>
    </row>
    <row r="163" spans="1:4" x14ac:dyDescent="0.45">
      <c r="A163" s="3" t="s">
        <v>173</v>
      </c>
      <c r="B163" s="3">
        <v>670</v>
      </c>
      <c r="D163" s="84">
        <v>5.9546250000000001</v>
      </c>
    </row>
    <row r="164" spans="1:4" x14ac:dyDescent="0.45">
      <c r="A164" s="3" t="s">
        <v>174</v>
      </c>
      <c r="B164" s="3">
        <v>228</v>
      </c>
      <c r="D164" s="84">
        <v>1.64025</v>
      </c>
    </row>
    <row r="165" spans="1:4" x14ac:dyDescent="0.45">
      <c r="A165" s="3" t="s">
        <v>175</v>
      </c>
      <c r="B165" s="3">
        <v>690</v>
      </c>
      <c r="D165" s="84">
        <v>9.9145000000000003</v>
      </c>
    </row>
    <row r="166" spans="1:4" x14ac:dyDescent="0.45">
      <c r="A166" s="3" t="s">
        <v>176</v>
      </c>
      <c r="B166" s="3">
        <v>1868</v>
      </c>
      <c r="D166" s="84">
        <v>0.90137499999999993</v>
      </c>
    </row>
    <row r="167" spans="1:4" x14ac:dyDescent="0.45">
      <c r="A167" s="3" t="s">
        <v>177</v>
      </c>
      <c r="B167" s="3">
        <v>216</v>
      </c>
      <c r="D167" s="84">
        <v>4.2306249999999999</v>
      </c>
    </row>
    <row r="168" spans="1:4" x14ac:dyDescent="0.45">
      <c r="A168" s="3" t="s">
        <v>178</v>
      </c>
      <c r="B168" s="3">
        <v>90</v>
      </c>
      <c r="D168" s="84">
        <v>0.47875000000000001</v>
      </c>
    </row>
    <row r="169" spans="1:4" x14ac:dyDescent="0.45">
      <c r="A169" s="3" t="s">
        <v>179</v>
      </c>
      <c r="B169" s="3">
        <v>993</v>
      </c>
      <c r="D169" s="84">
        <v>1.1990000000000001</v>
      </c>
    </row>
    <row r="170" spans="1:4" x14ac:dyDescent="0.45">
      <c r="A170" s="3" t="s">
        <v>180</v>
      </c>
      <c r="B170" s="3">
        <v>256</v>
      </c>
      <c r="D170" s="84">
        <v>2.1732499999999999</v>
      </c>
    </row>
    <row r="171" spans="1:4" x14ac:dyDescent="0.45">
      <c r="A171" s="3" t="s">
        <v>181</v>
      </c>
      <c r="B171" s="3">
        <v>380</v>
      </c>
      <c r="D171" s="84">
        <v>1.9467499999999998</v>
      </c>
    </row>
    <row r="172" spans="1:4" x14ac:dyDescent="0.45">
      <c r="A172" s="3" t="s">
        <v>182</v>
      </c>
      <c r="B172" s="3">
        <v>971</v>
      </c>
      <c r="D172" s="84">
        <v>0.84299999999999997</v>
      </c>
    </row>
    <row r="173" spans="1:4" x14ac:dyDescent="0.45">
      <c r="A173" s="3" t="s">
        <v>183</v>
      </c>
      <c r="B173" s="3">
        <v>44</v>
      </c>
      <c r="D173" s="84">
        <v>2.9826249999999996</v>
      </c>
    </row>
    <row r="174" spans="1:4" x14ac:dyDescent="0.45">
      <c r="A174" s="3" t="s">
        <v>184</v>
      </c>
      <c r="B174" s="3">
        <v>1</v>
      </c>
      <c r="D174" s="84">
        <v>5.1500000000000004E-2</v>
      </c>
    </row>
    <row r="175" spans="1:4" x14ac:dyDescent="0.45">
      <c r="A175" s="3" t="s">
        <v>185</v>
      </c>
      <c r="B175" s="3">
        <v>598</v>
      </c>
      <c r="D175" s="84">
        <v>0.77725</v>
      </c>
    </row>
    <row r="176" spans="1:4" x14ac:dyDescent="0.45">
      <c r="A176" s="3" t="s">
        <v>186</v>
      </c>
      <c r="B176" s="3">
        <v>998</v>
      </c>
      <c r="D176" s="84">
        <v>0.55787500000000001</v>
      </c>
    </row>
    <row r="177" spans="1:4" x14ac:dyDescent="0.45">
      <c r="A177" s="3" t="s">
        <v>187</v>
      </c>
      <c r="B177" s="3">
        <v>58</v>
      </c>
      <c r="D177" s="84">
        <v>0.451125</v>
      </c>
    </row>
    <row r="178" spans="1:4" x14ac:dyDescent="0.45">
      <c r="A178" s="3" t="s">
        <v>188</v>
      </c>
      <c r="B178" s="3">
        <v>84</v>
      </c>
      <c r="D178" s="84">
        <v>0.29662500000000003</v>
      </c>
    </row>
    <row r="179" spans="1:4" x14ac:dyDescent="0.45">
      <c r="A179" s="3" t="s">
        <v>189</v>
      </c>
      <c r="B179" s="3">
        <v>685</v>
      </c>
      <c r="D179" s="84">
        <v>6.3781249999999998</v>
      </c>
    </row>
    <row r="180" spans="1:4" x14ac:dyDescent="0.45">
      <c r="A180" s="3" t="s">
        <v>190</v>
      </c>
      <c r="B180" s="3">
        <v>967</v>
      </c>
      <c r="D180" s="84">
        <v>0.66225000000000001</v>
      </c>
    </row>
    <row r="181" spans="1:4" x14ac:dyDescent="0.45">
      <c r="A181" s="3" t="s">
        <v>191</v>
      </c>
      <c r="B181" s="3">
        <v>260</v>
      </c>
      <c r="D181" s="84">
        <v>2.68025</v>
      </c>
    </row>
    <row r="182" spans="1:4" x14ac:dyDescent="0.45">
      <c r="A182" s="3" t="s">
        <v>192</v>
      </c>
      <c r="B182" s="3">
        <v>263</v>
      </c>
      <c r="D182" s="84">
        <v>2.7562500000000001</v>
      </c>
    </row>
  </sheetData>
  <pageMargins left="0.7" right="0.7" top="0.75" bottom="0.75" header="0.3" footer="0.3"/>
  <headerFooter>
    <oddFooter>&amp;L_x000D_&amp;1#&amp;"Calibri"&amp;10&amp;K000000 Restricted/Internal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2B1E-46E5-4F61-AC43-022B7C86266B}">
  <dimension ref="A1:E175"/>
  <sheetViews>
    <sheetView zoomScale="115" zoomScaleNormal="115" workbookViewId="0">
      <selection activeCell="C25" sqref="C25"/>
    </sheetView>
  </sheetViews>
  <sheetFormatPr defaultRowHeight="14.25" x14ac:dyDescent="0.45"/>
  <cols>
    <col min="1" max="1" width="26.86328125" customWidth="1"/>
    <col min="2" max="2" width="16.33203125" customWidth="1"/>
    <col min="3" max="3" width="21" style="80" customWidth="1"/>
    <col min="4" max="4" width="16" hidden="1" customWidth="1"/>
    <col min="5" max="5" width="0" hidden="1" customWidth="1"/>
  </cols>
  <sheetData>
    <row r="1" spans="1:5" ht="26.65" x14ac:dyDescent="0.85">
      <c r="A1" s="72" t="s">
        <v>617</v>
      </c>
    </row>
    <row r="2" spans="1:5" ht="28.5" x14ac:dyDescent="0.45">
      <c r="A2" s="7" t="s">
        <v>193</v>
      </c>
      <c r="B2" s="7" t="s">
        <v>194</v>
      </c>
      <c r="C2" s="83" t="s">
        <v>619</v>
      </c>
    </row>
    <row r="3" spans="1:5" x14ac:dyDescent="0.45">
      <c r="A3" s="1" t="s">
        <v>10</v>
      </c>
      <c r="B3" s="1">
        <v>93</v>
      </c>
      <c r="C3" s="84">
        <v>0.28412500000000002</v>
      </c>
      <c r="D3" t="s">
        <v>195</v>
      </c>
      <c r="E3">
        <v>4.21</v>
      </c>
    </row>
    <row r="4" spans="1:5" x14ac:dyDescent="0.45">
      <c r="A4" s="1" t="s">
        <v>12</v>
      </c>
      <c r="B4" s="1">
        <v>213</v>
      </c>
      <c r="C4" s="84">
        <v>0.1895</v>
      </c>
      <c r="D4" t="s">
        <v>196</v>
      </c>
      <c r="E4" s="4">
        <v>0.2</v>
      </c>
    </row>
    <row r="5" spans="1:5" x14ac:dyDescent="0.45">
      <c r="A5" s="1" t="s">
        <v>13</v>
      </c>
      <c r="B5" s="1">
        <v>244</v>
      </c>
      <c r="C5" s="84">
        <v>0.31574999999999998</v>
      </c>
    </row>
    <row r="6" spans="1:5" x14ac:dyDescent="0.45">
      <c r="A6" s="1" t="s">
        <v>14</v>
      </c>
      <c r="B6" s="1">
        <v>54</v>
      </c>
      <c r="C6" s="84">
        <v>0.31574999999999998</v>
      </c>
    </row>
    <row r="7" spans="1:5" x14ac:dyDescent="0.45">
      <c r="A7" s="1" t="s">
        <v>15</v>
      </c>
      <c r="B7" s="1">
        <v>374</v>
      </c>
      <c r="C7" s="84">
        <v>0.31574999999999998</v>
      </c>
    </row>
    <row r="8" spans="1:5" x14ac:dyDescent="0.45">
      <c r="A8" s="1" t="s">
        <v>197</v>
      </c>
      <c r="B8" s="1">
        <v>247</v>
      </c>
      <c r="C8" s="84">
        <v>0.31574999999999998</v>
      </c>
    </row>
    <row r="9" spans="1:5" x14ac:dyDescent="0.45">
      <c r="A9" s="1" t="s">
        <v>16</v>
      </c>
      <c r="B9" s="1">
        <v>61</v>
      </c>
      <c r="C9" s="84">
        <v>0.18945000000000001</v>
      </c>
    </row>
    <row r="10" spans="1:5" x14ac:dyDescent="0.45">
      <c r="A10" s="1" t="s">
        <v>17</v>
      </c>
      <c r="B10" s="1">
        <v>43</v>
      </c>
      <c r="C10" s="84">
        <v>0.31574999999999998</v>
      </c>
    </row>
    <row r="11" spans="1:5" x14ac:dyDescent="0.45">
      <c r="A11" s="1" t="s">
        <v>18</v>
      </c>
      <c r="B11" s="1">
        <v>994</v>
      </c>
      <c r="C11" s="84">
        <v>0.31574999999999998</v>
      </c>
    </row>
    <row r="12" spans="1:5" x14ac:dyDescent="0.45">
      <c r="A12" s="1" t="s">
        <v>198</v>
      </c>
      <c r="B12" s="1">
        <v>1242</v>
      </c>
      <c r="C12" s="84">
        <v>0.46725000000000005</v>
      </c>
    </row>
    <row r="13" spans="1:5" x14ac:dyDescent="0.45">
      <c r="A13" s="1" t="s">
        <v>19</v>
      </c>
      <c r="B13" s="1">
        <v>973</v>
      </c>
      <c r="C13" s="84">
        <v>0.51150000000000007</v>
      </c>
    </row>
    <row r="14" spans="1:5" x14ac:dyDescent="0.45">
      <c r="A14" s="1" t="s">
        <v>20</v>
      </c>
      <c r="B14" s="1">
        <v>880</v>
      </c>
      <c r="C14" s="84">
        <v>0.1895</v>
      </c>
    </row>
    <row r="15" spans="1:5" x14ac:dyDescent="0.45">
      <c r="A15" s="1" t="s">
        <v>21</v>
      </c>
      <c r="B15" s="1">
        <v>1246</v>
      </c>
      <c r="C15" s="84">
        <v>0.31574999999999998</v>
      </c>
    </row>
    <row r="16" spans="1:5" x14ac:dyDescent="0.45">
      <c r="A16" s="1" t="s">
        <v>22</v>
      </c>
      <c r="B16" s="1">
        <v>375</v>
      </c>
      <c r="C16" s="84">
        <v>0.51150000000000007</v>
      </c>
    </row>
    <row r="17" spans="1:3" x14ac:dyDescent="0.45">
      <c r="A17" s="1" t="s">
        <v>23</v>
      </c>
      <c r="B17" s="1">
        <v>32</v>
      </c>
      <c r="C17" s="84">
        <v>0.60624999999999996</v>
      </c>
    </row>
    <row r="18" spans="1:3" x14ac:dyDescent="0.45">
      <c r="A18" s="1" t="s">
        <v>24</v>
      </c>
      <c r="B18" s="1">
        <v>501</v>
      </c>
      <c r="C18" s="84">
        <v>0.31574999999999998</v>
      </c>
    </row>
    <row r="19" spans="1:3" x14ac:dyDescent="0.45">
      <c r="A19" s="1" t="s">
        <v>199</v>
      </c>
      <c r="B19" s="1">
        <v>1441</v>
      </c>
      <c r="C19" s="84">
        <v>0.31574999999999998</v>
      </c>
    </row>
    <row r="20" spans="1:3" x14ac:dyDescent="0.45">
      <c r="A20" s="1" t="s">
        <v>25</v>
      </c>
      <c r="B20" s="1">
        <v>975</v>
      </c>
      <c r="C20" s="84">
        <v>0.27787499999999998</v>
      </c>
    </row>
    <row r="21" spans="1:3" x14ac:dyDescent="0.45">
      <c r="A21" s="1" t="s">
        <v>200</v>
      </c>
      <c r="B21" s="1">
        <v>387</v>
      </c>
      <c r="C21" s="84">
        <v>0.51150000000000007</v>
      </c>
    </row>
    <row r="22" spans="1:3" x14ac:dyDescent="0.45">
      <c r="A22" s="1" t="s">
        <v>28</v>
      </c>
      <c r="B22" s="1">
        <v>267</v>
      </c>
      <c r="C22" s="84">
        <v>0.31574999999999998</v>
      </c>
    </row>
    <row r="23" spans="1:3" x14ac:dyDescent="0.45">
      <c r="A23" s="1" t="s">
        <v>29</v>
      </c>
      <c r="B23" s="1">
        <v>55</v>
      </c>
      <c r="C23" s="84">
        <v>0.31574999999999998</v>
      </c>
    </row>
    <row r="24" spans="1:3" x14ac:dyDescent="0.45">
      <c r="A24" s="1" t="s">
        <v>30</v>
      </c>
      <c r="B24" s="1">
        <v>673</v>
      </c>
      <c r="C24" s="84">
        <v>0.1895</v>
      </c>
    </row>
    <row r="25" spans="1:3" x14ac:dyDescent="0.45">
      <c r="A25" s="1" t="s">
        <v>31</v>
      </c>
      <c r="B25" s="1">
        <v>359</v>
      </c>
      <c r="C25" s="84">
        <v>0.51150000000000007</v>
      </c>
    </row>
    <row r="26" spans="1:3" x14ac:dyDescent="0.45">
      <c r="A26" s="1" t="s">
        <v>201</v>
      </c>
      <c r="B26" s="1">
        <v>226</v>
      </c>
      <c r="C26" s="84">
        <v>0.1895</v>
      </c>
    </row>
    <row r="27" spans="1:3" x14ac:dyDescent="0.45">
      <c r="A27" s="1" t="s">
        <v>202</v>
      </c>
      <c r="B27" s="1">
        <v>257</v>
      </c>
      <c r="C27" s="84">
        <v>0.1895</v>
      </c>
    </row>
    <row r="28" spans="1:3" x14ac:dyDescent="0.45">
      <c r="A28" s="1" t="s">
        <v>33</v>
      </c>
      <c r="B28" s="1">
        <v>855</v>
      </c>
      <c r="C28" s="84">
        <v>0.27787499999999998</v>
      </c>
    </row>
    <row r="29" spans="1:3" x14ac:dyDescent="0.45">
      <c r="A29" s="1" t="s">
        <v>34</v>
      </c>
      <c r="B29" s="1">
        <v>237</v>
      </c>
      <c r="C29" s="84">
        <v>0.1895</v>
      </c>
    </row>
    <row r="30" spans="1:3" x14ac:dyDescent="0.45">
      <c r="A30" s="1" t="s">
        <v>35</v>
      </c>
      <c r="B30" s="1">
        <v>1</v>
      </c>
      <c r="C30" s="84">
        <v>0.23362500000000003</v>
      </c>
    </row>
    <row r="31" spans="1:3" x14ac:dyDescent="0.45">
      <c r="A31" s="1" t="s">
        <v>203</v>
      </c>
      <c r="B31" s="1">
        <v>1345</v>
      </c>
      <c r="C31" s="84">
        <v>0.31574999999999998</v>
      </c>
    </row>
    <row r="32" spans="1:3" x14ac:dyDescent="0.45">
      <c r="A32" s="1" t="s">
        <v>37</v>
      </c>
      <c r="B32" s="1">
        <v>235</v>
      </c>
      <c r="C32" s="84">
        <v>0.1895</v>
      </c>
    </row>
    <row r="33" spans="1:3" x14ac:dyDescent="0.45">
      <c r="A33" s="1" t="s">
        <v>38</v>
      </c>
      <c r="B33" s="1">
        <v>56</v>
      </c>
      <c r="C33" s="84">
        <v>0.31574999999999998</v>
      </c>
    </row>
    <row r="34" spans="1:3" x14ac:dyDescent="0.45">
      <c r="A34" s="1" t="s">
        <v>39</v>
      </c>
      <c r="B34" s="1">
        <v>86</v>
      </c>
      <c r="C34" s="84">
        <v>0.1895</v>
      </c>
    </row>
    <row r="35" spans="1:3" x14ac:dyDescent="0.45">
      <c r="A35" s="1" t="s">
        <v>40</v>
      </c>
      <c r="B35" s="1">
        <v>57</v>
      </c>
      <c r="C35" s="84">
        <v>0.31574999999999998</v>
      </c>
    </row>
    <row r="36" spans="1:3" x14ac:dyDescent="0.45">
      <c r="A36" s="1" t="s">
        <v>204</v>
      </c>
      <c r="B36" s="1">
        <v>242</v>
      </c>
      <c r="C36" s="84">
        <v>0.51150000000000007</v>
      </c>
    </row>
    <row r="37" spans="1:3" x14ac:dyDescent="0.45">
      <c r="A37" s="1" t="s">
        <v>43</v>
      </c>
      <c r="B37" s="1">
        <v>506</v>
      </c>
      <c r="C37" s="84">
        <v>0.31574999999999998</v>
      </c>
    </row>
    <row r="38" spans="1:3" x14ac:dyDescent="0.45">
      <c r="A38" s="1" t="s">
        <v>44</v>
      </c>
      <c r="B38" s="1">
        <v>385</v>
      </c>
      <c r="C38" s="84">
        <v>0.51150000000000007</v>
      </c>
    </row>
    <row r="39" spans="1:3" x14ac:dyDescent="0.45">
      <c r="A39" s="1" t="s">
        <v>205</v>
      </c>
      <c r="B39" s="1">
        <v>53</v>
      </c>
      <c r="C39" s="84">
        <v>0.46725000000000005</v>
      </c>
    </row>
    <row r="40" spans="1:3" x14ac:dyDescent="0.45">
      <c r="A40" s="1" t="s">
        <v>45</v>
      </c>
      <c r="B40" s="1">
        <v>357</v>
      </c>
      <c r="C40" s="84">
        <v>0.31574999999999998</v>
      </c>
    </row>
    <row r="41" spans="1:3" x14ac:dyDescent="0.45">
      <c r="A41" s="1" t="s">
        <v>46</v>
      </c>
      <c r="B41" s="1">
        <v>420</v>
      </c>
      <c r="C41" s="84">
        <v>0.44200000000000006</v>
      </c>
    </row>
    <row r="42" spans="1:3" x14ac:dyDescent="0.45">
      <c r="A42" s="1" t="s">
        <v>206</v>
      </c>
      <c r="B42" s="1">
        <v>243</v>
      </c>
      <c r="C42" s="84">
        <v>0.1895</v>
      </c>
    </row>
    <row r="43" spans="1:3" x14ac:dyDescent="0.45">
      <c r="A43" s="1" t="s">
        <v>47</v>
      </c>
      <c r="B43" s="1">
        <v>45</v>
      </c>
      <c r="C43" s="84">
        <v>0.60624999999999996</v>
      </c>
    </row>
    <row r="44" spans="1:3" x14ac:dyDescent="0.45">
      <c r="A44" s="1" t="s">
        <v>207</v>
      </c>
      <c r="B44" s="1">
        <v>670</v>
      </c>
      <c r="C44" s="84">
        <v>0.27775</v>
      </c>
    </row>
    <row r="45" spans="1:3" x14ac:dyDescent="0.45">
      <c r="A45" s="1" t="s">
        <v>53</v>
      </c>
      <c r="B45" s="1">
        <v>593</v>
      </c>
      <c r="C45" s="84">
        <v>0.31574999999999998</v>
      </c>
    </row>
    <row r="46" spans="1:3" x14ac:dyDescent="0.45">
      <c r="A46" s="1" t="s">
        <v>54</v>
      </c>
      <c r="B46" s="1">
        <v>20</v>
      </c>
      <c r="C46" s="84">
        <v>0.1895</v>
      </c>
    </row>
    <row r="47" spans="1:3" x14ac:dyDescent="0.45">
      <c r="A47" s="1" t="s">
        <v>55</v>
      </c>
      <c r="B47" s="1">
        <v>503</v>
      </c>
      <c r="C47" s="84">
        <v>0.31574999999999998</v>
      </c>
    </row>
    <row r="48" spans="1:3" x14ac:dyDescent="0.45">
      <c r="A48" s="1" t="s">
        <v>56</v>
      </c>
      <c r="B48" s="1">
        <v>240</v>
      </c>
      <c r="C48" s="84">
        <v>0.31574999999999998</v>
      </c>
    </row>
    <row r="49" spans="1:3" x14ac:dyDescent="0.45">
      <c r="A49" s="1" t="s">
        <v>58</v>
      </c>
      <c r="B49" s="1">
        <v>372</v>
      </c>
      <c r="C49" s="84">
        <v>0.31574999999999998</v>
      </c>
    </row>
    <row r="50" spans="1:3" x14ac:dyDescent="0.45">
      <c r="A50" s="1" t="s">
        <v>59</v>
      </c>
      <c r="B50" s="1">
        <v>251</v>
      </c>
      <c r="C50" s="84">
        <v>0.51150000000000007</v>
      </c>
    </row>
    <row r="51" spans="1:3" x14ac:dyDescent="0.45">
      <c r="A51" s="1" t="s">
        <v>60</v>
      </c>
      <c r="B51" s="1">
        <v>679</v>
      </c>
      <c r="C51" s="84">
        <v>0.27775</v>
      </c>
    </row>
    <row r="52" spans="1:3" x14ac:dyDescent="0.45">
      <c r="A52" s="1" t="s">
        <v>61</v>
      </c>
      <c r="B52" s="1">
        <v>358</v>
      </c>
      <c r="C52" s="84">
        <v>0.60624999999999996</v>
      </c>
    </row>
    <row r="53" spans="1:3" x14ac:dyDescent="0.45">
      <c r="A53" s="1" t="s">
        <v>62</v>
      </c>
      <c r="B53" s="1">
        <v>33</v>
      </c>
      <c r="C53" s="84">
        <v>0.53675000000000006</v>
      </c>
    </row>
    <row r="54" spans="1:3" x14ac:dyDescent="0.45">
      <c r="A54" s="1" t="s">
        <v>208</v>
      </c>
      <c r="B54" s="1">
        <v>689</v>
      </c>
      <c r="C54" s="84">
        <v>0.27775</v>
      </c>
    </row>
    <row r="55" spans="1:3" x14ac:dyDescent="0.45">
      <c r="A55" s="1" t="s">
        <v>209</v>
      </c>
      <c r="B55" s="1">
        <v>241</v>
      </c>
      <c r="C55" s="84">
        <v>0.1895</v>
      </c>
    </row>
    <row r="56" spans="1:3" x14ac:dyDescent="0.45">
      <c r="A56" s="1" t="s">
        <v>63</v>
      </c>
      <c r="B56" s="1">
        <v>220</v>
      </c>
      <c r="C56" s="84">
        <v>0.1895</v>
      </c>
    </row>
    <row r="57" spans="1:3" x14ac:dyDescent="0.45">
      <c r="A57" s="1" t="s">
        <v>64</v>
      </c>
      <c r="B57" s="1">
        <v>995</v>
      </c>
      <c r="C57" s="84">
        <v>0.51150000000000007</v>
      </c>
    </row>
    <row r="58" spans="1:3" x14ac:dyDescent="0.45">
      <c r="A58" s="1" t="s">
        <v>65</v>
      </c>
      <c r="B58" s="1">
        <v>49</v>
      </c>
      <c r="C58" s="84">
        <v>0.53675000000000006</v>
      </c>
    </row>
    <row r="59" spans="1:3" x14ac:dyDescent="0.45">
      <c r="A59" s="1" t="s">
        <v>66</v>
      </c>
      <c r="B59" s="1">
        <v>233</v>
      </c>
      <c r="C59" s="84">
        <v>0.1895</v>
      </c>
    </row>
    <row r="60" spans="1:3" x14ac:dyDescent="0.45">
      <c r="A60" s="1" t="s">
        <v>210</v>
      </c>
      <c r="B60" s="1">
        <v>881</v>
      </c>
      <c r="C60" s="84">
        <v>5.5572499999999998</v>
      </c>
    </row>
    <row r="61" spans="1:3" x14ac:dyDescent="0.45">
      <c r="A61" s="1" t="s">
        <v>69</v>
      </c>
      <c r="B61" s="1">
        <v>30</v>
      </c>
      <c r="C61" s="84">
        <v>0.31574999999999998</v>
      </c>
    </row>
    <row r="62" spans="1:3" x14ac:dyDescent="0.45">
      <c r="A62" s="1" t="s">
        <v>211</v>
      </c>
      <c r="B62" s="1">
        <v>590</v>
      </c>
      <c r="C62" s="84">
        <v>0.46725000000000005</v>
      </c>
    </row>
    <row r="63" spans="1:3" x14ac:dyDescent="0.45">
      <c r="A63" s="1" t="s">
        <v>70</v>
      </c>
      <c r="B63" s="1">
        <v>502</v>
      </c>
      <c r="C63" s="84">
        <v>0.31574999999999998</v>
      </c>
    </row>
    <row r="64" spans="1:3" x14ac:dyDescent="0.45">
      <c r="A64" s="1" t="s">
        <v>212</v>
      </c>
      <c r="B64" s="1">
        <v>224</v>
      </c>
      <c r="C64" s="84">
        <v>0.51150000000000007</v>
      </c>
    </row>
    <row r="65" spans="1:3" x14ac:dyDescent="0.45">
      <c r="A65" s="1" t="s">
        <v>72</v>
      </c>
      <c r="B65" s="1">
        <v>592</v>
      </c>
      <c r="C65" s="84">
        <v>0.31574999999999998</v>
      </c>
    </row>
    <row r="66" spans="1:3" x14ac:dyDescent="0.45">
      <c r="A66" s="1" t="s">
        <v>213</v>
      </c>
      <c r="B66" s="1">
        <v>509</v>
      </c>
      <c r="C66" s="84">
        <v>0.46725000000000005</v>
      </c>
    </row>
    <row r="67" spans="1:3" x14ac:dyDescent="0.45">
      <c r="A67" s="1" t="s">
        <v>73</v>
      </c>
      <c r="B67" s="1">
        <v>504</v>
      </c>
      <c r="C67" s="84">
        <v>0.31574999999999998</v>
      </c>
    </row>
    <row r="68" spans="1:3" x14ac:dyDescent="0.45">
      <c r="A68" s="1" t="s">
        <v>74</v>
      </c>
      <c r="B68" s="1">
        <v>852</v>
      </c>
      <c r="C68" s="84">
        <v>0.25262499999999999</v>
      </c>
    </row>
    <row r="69" spans="1:3" x14ac:dyDescent="0.45">
      <c r="A69" s="1" t="s">
        <v>214</v>
      </c>
      <c r="B69" s="1">
        <v>852</v>
      </c>
      <c r="C69" s="84">
        <v>0.31574999999999998</v>
      </c>
    </row>
    <row r="70" spans="1:3" x14ac:dyDescent="0.45">
      <c r="A70" s="1" t="s">
        <v>75</v>
      </c>
      <c r="B70" s="1">
        <v>36</v>
      </c>
      <c r="C70" s="84">
        <v>0.51150000000000007</v>
      </c>
    </row>
    <row r="71" spans="1:3" x14ac:dyDescent="0.45">
      <c r="A71" s="1" t="s">
        <v>77</v>
      </c>
      <c r="B71" s="1">
        <v>91</v>
      </c>
      <c r="C71" s="84">
        <v>0.25262499999999999</v>
      </c>
    </row>
    <row r="72" spans="1:3" x14ac:dyDescent="0.45">
      <c r="A72" s="1" t="s">
        <v>77</v>
      </c>
      <c r="B72" s="1">
        <v>91</v>
      </c>
      <c r="C72" s="84">
        <v>0.27775</v>
      </c>
    </row>
    <row r="73" spans="1:3" x14ac:dyDescent="0.45">
      <c r="A73" s="1" t="s">
        <v>78</v>
      </c>
      <c r="B73" s="1">
        <v>62</v>
      </c>
      <c r="C73" s="84">
        <v>0.1895</v>
      </c>
    </row>
    <row r="74" spans="1:3" x14ac:dyDescent="0.45">
      <c r="A74" s="1" t="s">
        <v>82</v>
      </c>
      <c r="B74" s="1">
        <v>98</v>
      </c>
      <c r="C74" s="84">
        <v>0.51150000000000007</v>
      </c>
    </row>
    <row r="75" spans="1:3" x14ac:dyDescent="0.45">
      <c r="A75" s="1" t="s">
        <v>83</v>
      </c>
      <c r="B75" s="1">
        <v>964</v>
      </c>
      <c r="C75" s="84">
        <v>0.41050000000000003</v>
      </c>
    </row>
    <row r="76" spans="1:3" x14ac:dyDescent="0.45">
      <c r="A76" s="1" t="s">
        <v>84</v>
      </c>
      <c r="B76" s="1">
        <v>353</v>
      </c>
      <c r="C76" s="84">
        <v>0.60624999999999996</v>
      </c>
    </row>
    <row r="77" spans="1:3" x14ac:dyDescent="0.45">
      <c r="A77" s="1" t="s">
        <v>85</v>
      </c>
      <c r="B77" s="1">
        <v>972</v>
      </c>
      <c r="C77" s="84">
        <v>0.51150000000000007</v>
      </c>
    </row>
    <row r="78" spans="1:3" x14ac:dyDescent="0.45">
      <c r="A78" s="1" t="s">
        <v>86</v>
      </c>
      <c r="B78" s="1">
        <v>39</v>
      </c>
      <c r="C78" s="84">
        <v>0.53675000000000006</v>
      </c>
    </row>
    <row r="79" spans="1:3" x14ac:dyDescent="0.45">
      <c r="A79" s="1" t="s">
        <v>89</v>
      </c>
      <c r="B79" s="1">
        <v>81</v>
      </c>
      <c r="C79" s="84">
        <v>0.27775</v>
      </c>
    </row>
    <row r="80" spans="1:3" x14ac:dyDescent="0.45">
      <c r="A80" s="1" t="s">
        <v>215</v>
      </c>
      <c r="B80" s="1">
        <v>81</v>
      </c>
      <c r="C80" s="84">
        <v>0.34737499999999999</v>
      </c>
    </row>
    <row r="81" spans="1:3" x14ac:dyDescent="0.45">
      <c r="A81" s="1" t="s">
        <v>216</v>
      </c>
      <c r="B81" s="1">
        <v>81</v>
      </c>
      <c r="C81" s="84">
        <v>0.1895</v>
      </c>
    </row>
    <row r="82" spans="1:3" x14ac:dyDescent="0.45">
      <c r="A82" s="1" t="s">
        <v>90</v>
      </c>
      <c r="B82" s="1">
        <v>962</v>
      </c>
      <c r="C82" s="84">
        <v>0.51150000000000007</v>
      </c>
    </row>
    <row r="83" spans="1:3" x14ac:dyDescent="0.45">
      <c r="A83" s="1" t="s">
        <v>91</v>
      </c>
      <c r="B83" s="1">
        <v>7</v>
      </c>
      <c r="C83" s="84">
        <v>0.44200000000000006</v>
      </c>
    </row>
    <row r="84" spans="1:3" x14ac:dyDescent="0.45">
      <c r="A84" s="1" t="s">
        <v>217</v>
      </c>
      <c r="B84" s="1">
        <v>254</v>
      </c>
      <c r="C84" s="84">
        <v>0.1895</v>
      </c>
    </row>
    <row r="85" spans="1:3" x14ac:dyDescent="0.45">
      <c r="A85" s="1" t="s">
        <v>93</v>
      </c>
      <c r="B85" s="1">
        <v>686</v>
      </c>
      <c r="C85" s="84">
        <v>0.63149999999999995</v>
      </c>
    </row>
    <row r="86" spans="1:3" x14ac:dyDescent="0.45">
      <c r="A86" s="1" t="s">
        <v>159</v>
      </c>
      <c r="B86" s="1">
        <v>82</v>
      </c>
      <c r="C86" s="84">
        <v>0.1895</v>
      </c>
    </row>
    <row r="87" spans="1:3" x14ac:dyDescent="0.45">
      <c r="A87" s="1" t="s">
        <v>94</v>
      </c>
      <c r="B87" s="1">
        <v>965</v>
      </c>
      <c r="C87" s="84">
        <v>0.1895</v>
      </c>
    </row>
    <row r="88" spans="1:3" x14ac:dyDescent="0.45">
      <c r="A88" s="1" t="s">
        <v>96</v>
      </c>
      <c r="B88" s="1">
        <v>856</v>
      </c>
      <c r="C88" s="84">
        <v>0.1895</v>
      </c>
    </row>
    <row r="89" spans="1:3" x14ac:dyDescent="0.45">
      <c r="A89" s="1" t="s">
        <v>97</v>
      </c>
      <c r="B89" s="1">
        <v>371</v>
      </c>
      <c r="C89" s="84">
        <v>0.51150000000000007</v>
      </c>
    </row>
    <row r="90" spans="1:3" x14ac:dyDescent="0.45">
      <c r="A90" s="1" t="s">
        <v>98</v>
      </c>
      <c r="B90" s="1">
        <v>961</v>
      </c>
      <c r="C90" s="84">
        <v>0.31574999999999998</v>
      </c>
    </row>
    <row r="91" spans="1:3" x14ac:dyDescent="0.45">
      <c r="A91" s="1" t="s">
        <v>218</v>
      </c>
      <c r="B91" s="1">
        <v>266</v>
      </c>
      <c r="C91" s="84">
        <v>0.1895</v>
      </c>
    </row>
    <row r="92" spans="1:3" x14ac:dyDescent="0.45">
      <c r="A92" s="1" t="s">
        <v>99</v>
      </c>
      <c r="B92" s="1">
        <v>231</v>
      </c>
      <c r="C92" s="84">
        <v>0.51150000000000007</v>
      </c>
    </row>
    <row r="93" spans="1:3" x14ac:dyDescent="0.45">
      <c r="A93" s="1" t="s">
        <v>100</v>
      </c>
      <c r="B93" s="1">
        <v>218</v>
      </c>
      <c r="C93" s="84">
        <v>0.31574999999999998</v>
      </c>
    </row>
    <row r="94" spans="1:3" x14ac:dyDescent="0.45">
      <c r="A94" s="1" t="s">
        <v>102</v>
      </c>
      <c r="B94" s="1">
        <v>370</v>
      </c>
      <c r="C94" s="84">
        <v>0.44200000000000006</v>
      </c>
    </row>
    <row r="95" spans="1:3" x14ac:dyDescent="0.45">
      <c r="A95" s="1" t="s">
        <v>103</v>
      </c>
      <c r="B95" s="1">
        <v>352</v>
      </c>
      <c r="C95" s="84">
        <v>0.31574999999999998</v>
      </c>
    </row>
    <row r="96" spans="1:3" x14ac:dyDescent="0.45">
      <c r="A96" s="1" t="s">
        <v>104</v>
      </c>
      <c r="B96" s="1">
        <v>853</v>
      </c>
      <c r="C96" s="84">
        <v>0.27775</v>
      </c>
    </row>
    <row r="97" spans="1:3" x14ac:dyDescent="0.45">
      <c r="A97" s="1" t="s">
        <v>106</v>
      </c>
      <c r="B97" s="1">
        <v>261</v>
      </c>
      <c r="C97" s="84">
        <v>0.51150000000000007</v>
      </c>
    </row>
    <row r="98" spans="1:3" x14ac:dyDescent="0.45">
      <c r="A98" s="1" t="s">
        <v>107</v>
      </c>
      <c r="B98" s="1">
        <v>265</v>
      </c>
      <c r="C98" s="84">
        <v>0.1895</v>
      </c>
    </row>
    <row r="99" spans="1:3" x14ac:dyDescent="0.45">
      <c r="A99" s="1" t="s">
        <v>108</v>
      </c>
      <c r="B99" s="1">
        <v>60</v>
      </c>
      <c r="C99" s="84">
        <v>0.27775</v>
      </c>
    </row>
    <row r="100" spans="1:3" x14ac:dyDescent="0.45">
      <c r="A100" s="1" t="s">
        <v>109</v>
      </c>
      <c r="B100" s="1">
        <v>960</v>
      </c>
      <c r="C100" s="84">
        <v>0.27775</v>
      </c>
    </row>
    <row r="101" spans="1:3" x14ac:dyDescent="0.45">
      <c r="A101" s="1" t="s">
        <v>111</v>
      </c>
      <c r="B101" s="1">
        <v>356</v>
      </c>
      <c r="C101" s="84">
        <v>0.31574999999999998</v>
      </c>
    </row>
    <row r="102" spans="1:3" x14ac:dyDescent="0.45">
      <c r="A102" s="1" t="s">
        <v>113</v>
      </c>
      <c r="B102" s="1">
        <v>230</v>
      </c>
      <c r="C102" s="84">
        <v>0.1895</v>
      </c>
    </row>
    <row r="103" spans="1:3" x14ac:dyDescent="0.45">
      <c r="A103" s="1" t="s">
        <v>114</v>
      </c>
      <c r="B103" s="1">
        <v>52</v>
      </c>
      <c r="C103" s="84">
        <v>0.31574999999999998</v>
      </c>
    </row>
    <row r="104" spans="1:3" x14ac:dyDescent="0.45">
      <c r="A104" s="1" t="s">
        <v>219</v>
      </c>
      <c r="B104" s="1">
        <v>377</v>
      </c>
      <c r="C104" s="84">
        <v>0.31574999999999998</v>
      </c>
    </row>
    <row r="105" spans="1:3" x14ac:dyDescent="0.45">
      <c r="A105" s="1" t="s">
        <v>116</v>
      </c>
      <c r="B105" s="1">
        <v>976</v>
      </c>
      <c r="C105" s="84">
        <v>0.1895</v>
      </c>
    </row>
    <row r="106" spans="1:3" x14ac:dyDescent="0.45">
      <c r="A106" s="1" t="s">
        <v>117</v>
      </c>
      <c r="B106" s="1">
        <v>382</v>
      </c>
      <c r="C106" s="84">
        <v>0.51150000000000007</v>
      </c>
    </row>
    <row r="107" spans="1:3" x14ac:dyDescent="0.45">
      <c r="A107" s="1" t="s">
        <v>118</v>
      </c>
      <c r="B107" s="1">
        <v>212</v>
      </c>
      <c r="C107" s="84">
        <v>0.1895</v>
      </c>
    </row>
    <row r="108" spans="1:3" x14ac:dyDescent="0.45">
      <c r="A108" s="1" t="s">
        <v>119</v>
      </c>
      <c r="B108" s="1">
        <v>258</v>
      </c>
      <c r="C108" s="84">
        <v>0.1895</v>
      </c>
    </row>
    <row r="109" spans="1:3" x14ac:dyDescent="0.45">
      <c r="A109" s="1" t="s">
        <v>120</v>
      </c>
      <c r="B109" s="1">
        <v>95</v>
      </c>
      <c r="C109" s="84">
        <v>0.53675000000000006</v>
      </c>
    </row>
    <row r="110" spans="1:3" x14ac:dyDescent="0.45">
      <c r="A110" s="1" t="s">
        <v>121</v>
      </c>
      <c r="B110" s="1">
        <v>264</v>
      </c>
      <c r="C110" s="84">
        <v>0.31574999999999998</v>
      </c>
    </row>
    <row r="111" spans="1:3" x14ac:dyDescent="0.45">
      <c r="A111" s="1" t="s">
        <v>122</v>
      </c>
      <c r="B111" s="1">
        <v>977</v>
      </c>
      <c r="C111" s="84">
        <v>0.34737499999999999</v>
      </c>
    </row>
    <row r="112" spans="1:3" x14ac:dyDescent="0.45">
      <c r="A112" s="1" t="s">
        <v>123</v>
      </c>
      <c r="B112" s="1">
        <v>31</v>
      </c>
      <c r="C112" s="84">
        <v>0.60624999999999996</v>
      </c>
    </row>
    <row r="113" spans="1:3" x14ac:dyDescent="0.45">
      <c r="A113" s="1" t="s">
        <v>220</v>
      </c>
      <c r="B113" s="1">
        <v>599</v>
      </c>
      <c r="C113" s="84">
        <v>0.46725000000000005</v>
      </c>
    </row>
    <row r="114" spans="1:3" x14ac:dyDescent="0.45">
      <c r="A114" s="1" t="s">
        <v>125</v>
      </c>
      <c r="B114" s="1">
        <v>64</v>
      </c>
      <c r="C114" s="84">
        <v>0.53675000000000006</v>
      </c>
    </row>
    <row r="115" spans="1:3" x14ac:dyDescent="0.45">
      <c r="A115" s="1" t="s">
        <v>126</v>
      </c>
      <c r="B115" s="1">
        <v>505</v>
      </c>
      <c r="C115" s="84">
        <v>0.31574999999999998</v>
      </c>
    </row>
    <row r="116" spans="1:3" x14ac:dyDescent="0.45">
      <c r="A116" s="1" t="s">
        <v>127</v>
      </c>
      <c r="B116" s="1">
        <v>227</v>
      </c>
      <c r="C116" s="84">
        <v>0.1895</v>
      </c>
    </row>
    <row r="117" spans="1:3" x14ac:dyDescent="0.45">
      <c r="A117" s="1" t="s">
        <v>128</v>
      </c>
      <c r="B117" s="1">
        <v>234</v>
      </c>
      <c r="C117" s="84">
        <v>0.1895</v>
      </c>
    </row>
    <row r="118" spans="1:3" x14ac:dyDescent="0.45">
      <c r="A118" s="1" t="s">
        <v>130</v>
      </c>
      <c r="B118" s="1">
        <v>47</v>
      </c>
      <c r="C118" s="84">
        <v>0.53675000000000006</v>
      </c>
    </row>
    <row r="119" spans="1:3" x14ac:dyDescent="0.45">
      <c r="A119" s="1" t="s">
        <v>131</v>
      </c>
      <c r="B119" s="1">
        <v>968</v>
      </c>
      <c r="C119" s="84">
        <v>0.37887499999999996</v>
      </c>
    </row>
    <row r="120" spans="1:3" x14ac:dyDescent="0.45">
      <c r="A120" s="1" t="s">
        <v>132</v>
      </c>
      <c r="B120" s="1">
        <v>92</v>
      </c>
      <c r="C120" s="84">
        <v>0.27775</v>
      </c>
    </row>
    <row r="121" spans="1:3" x14ac:dyDescent="0.45">
      <c r="A121" s="1" t="s">
        <v>221</v>
      </c>
      <c r="B121" s="1">
        <v>680</v>
      </c>
      <c r="C121" s="84">
        <v>0.27775</v>
      </c>
    </row>
    <row r="122" spans="1:3" x14ac:dyDescent="0.45">
      <c r="A122" s="1" t="s">
        <v>133</v>
      </c>
      <c r="B122" s="1">
        <v>970</v>
      </c>
      <c r="C122" s="84">
        <v>0.51150000000000007</v>
      </c>
    </row>
    <row r="123" spans="1:3" x14ac:dyDescent="0.45">
      <c r="A123" s="1" t="s">
        <v>134</v>
      </c>
      <c r="B123" s="1">
        <v>507</v>
      </c>
      <c r="C123" s="84">
        <v>0.46725000000000005</v>
      </c>
    </row>
    <row r="124" spans="1:3" x14ac:dyDescent="0.45">
      <c r="A124" s="1" t="s">
        <v>135</v>
      </c>
      <c r="B124" s="1">
        <v>675</v>
      </c>
      <c r="C124" s="84">
        <v>0.27775</v>
      </c>
    </row>
    <row r="125" spans="1:3" x14ac:dyDescent="0.45">
      <c r="A125" s="1" t="s">
        <v>136</v>
      </c>
      <c r="B125" s="1">
        <v>595</v>
      </c>
      <c r="C125" s="84">
        <v>0.46725000000000005</v>
      </c>
    </row>
    <row r="126" spans="1:3" x14ac:dyDescent="0.45">
      <c r="A126" s="1" t="s">
        <v>137</v>
      </c>
      <c r="B126" s="1">
        <v>51</v>
      </c>
      <c r="C126" s="84">
        <v>0.31574999999999998</v>
      </c>
    </row>
    <row r="127" spans="1:3" x14ac:dyDescent="0.45">
      <c r="A127" s="1" t="s">
        <v>138</v>
      </c>
      <c r="B127" s="1">
        <v>63</v>
      </c>
      <c r="C127" s="84">
        <v>0.25262499999999999</v>
      </c>
    </row>
    <row r="128" spans="1:3" x14ac:dyDescent="0.45">
      <c r="A128" s="1" t="s">
        <v>139</v>
      </c>
      <c r="B128" s="1">
        <v>48</v>
      </c>
      <c r="C128" s="84">
        <v>0.51150000000000007</v>
      </c>
    </row>
    <row r="129" spans="1:3" x14ac:dyDescent="0.45">
      <c r="A129" s="1" t="s">
        <v>140</v>
      </c>
      <c r="B129" s="1">
        <v>351</v>
      </c>
      <c r="C129" s="84">
        <v>0.53675000000000006</v>
      </c>
    </row>
    <row r="130" spans="1:3" ht="28.5" x14ac:dyDescent="0.45">
      <c r="A130" s="1" t="s">
        <v>141</v>
      </c>
      <c r="B130" s="8" t="s">
        <v>142</v>
      </c>
      <c r="C130" s="84">
        <v>0.46725000000000005</v>
      </c>
    </row>
    <row r="131" spans="1:3" x14ac:dyDescent="0.45">
      <c r="A131" s="1" t="s">
        <v>143</v>
      </c>
      <c r="B131" s="1">
        <v>974</v>
      </c>
      <c r="C131" s="84">
        <v>0.37887499999999996</v>
      </c>
    </row>
    <row r="132" spans="1:3" x14ac:dyDescent="0.45">
      <c r="A132" s="1" t="s">
        <v>145</v>
      </c>
      <c r="B132" s="1">
        <v>40</v>
      </c>
      <c r="C132" s="84">
        <v>0.31574999999999998</v>
      </c>
    </row>
    <row r="133" spans="1:3" x14ac:dyDescent="0.45">
      <c r="A133" s="1" t="s">
        <v>146</v>
      </c>
      <c r="B133" s="1">
        <v>7</v>
      </c>
      <c r="C133" s="84">
        <v>0.53675000000000006</v>
      </c>
    </row>
    <row r="134" spans="1:3" x14ac:dyDescent="0.45">
      <c r="A134" s="1" t="s">
        <v>147</v>
      </c>
      <c r="B134" s="1">
        <v>250</v>
      </c>
      <c r="C134" s="84">
        <v>0.31574999999999998</v>
      </c>
    </row>
    <row r="135" spans="1:3" x14ac:dyDescent="0.45">
      <c r="A135" s="1" t="s">
        <v>151</v>
      </c>
      <c r="B135" s="1">
        <v>966</v>
      </c>
      <c r="C135" s="84">
        <v>0.41050000000000003</v>
      </c>
    </row>
    <row r="136" spans="1:3" x14ac:dyDescent="0.45">
      <c r="A136" s="1" t="s">
        <v>152</v>
      </c>
      <c r="B136" s="1">
        <v>221</v>
      </c>
      <c r="C136" s="84">
        <v>0.51150000000000007</v>
      </c>
    </row>
    <row r="137" spans="1:3" x14ac:dyDescent="0.45">
      <c r="A137" s="1" t="s">
        <v>153</v>
      </c>
      <c r="B137" s="1">
        <v>381</v>
      </c>
      <c r="C137" s="84">
        <v>0.51150000000000007</v>
      </c>
    </row>
    <row r="138" spans="1:3" x14ac:dyDescent="0.45">
      <c r="A138" s="1" t="s">
        <v>222</v>
      </c>
      <c r="B138" s="1">
        <v>248</v>
      </c>
      <c r="C138" s="84">
        <v>0.1895</v>
      </c>
    </row>
    <row r="139" spans="1:3" x14ac:dyDescent="0.45">
      <c r="A139" s="1" t="s">
        <v>223</v>
      </c>
      <c r="B139" s="1">
        <v>232</v>
      </c>
      <c r="C139" s="84">
        <v>0.1895</v>
      </c>
    </row>
    <row r="140" spans="1:3" x14ac:dyDescent="0.45">
      <c r="A140" s="1" t="s">
        <v>154</v>
      </c>
      <c r="B140" s="1">
        <v>65</v>
      </c>
      <c r="C140" s="84">
        <v>0.16424999999999998</v>
      </c>
    </row>
    <row r="141" spans="1:3" x14ac:dyDescent="0.45">
      <c r="A141" s="1" t="s">
        <v>155</v>
      </c>
      <c r="B141" s="1">
        <v>421</v>
      </c>
      <c r="C141" s="84">
        <v>0.51150000000000007</v>
      </c>
    </row>
    <row r="142" spans="1:3" x14ac:dyDescent="0.45">
      <c r="A142" s="1" t="s">
        <v>156</v>
      </c>
      <c r="B142" s="1">
        <v>386</v>
      </c>
      <c r="C142" s="84">
        <v>0.51150000000000007</v>
      </c>
    </row>
    <row r="143" spans="1:3" x14ac:dyDescent="0.45">
      <c r="A143" s="1" t="s">
        <v>224</v>
      </c>
      <c r="B143" s="1">
        <v>677</v>
      </c>
      <c r="C143" s="84">
        <v>0.27775</v>
      </c>
    </row>
    <row r="144" spans="1:3" x14ac:dyDescent="0.45">
      <c r="A144" s="1" t="s">
        <v>157</v>
      </c>
      <c r="B144" s="1">
        <v>252</v>
      </c>
      <c r="C144" s="84">
        <v>0.51150000000000007</v>
      </c>
    </row>
    <row r="145" spans="1:3" x14ac:dyDescent="0.45">
      <c r="A145" s="1" t="s">
        <v>158</v>
      </c>
      <c r="B145" s="1">
        <v>27</v>
      </c>
      <c r="C145" s="84">
        <v>0.1895</v>
      </c>
    </row>
    <row r="146" spans="1:3" x14ac:dyDescent="0.45">
      <c r="A146" s="1" t="s">
        <v>160</v>
      </c>
      <c r="B146" s="1">
        <v>211</v>
      </c>
      <c r="C146" s="84">
        <v>0.51150000000000007</v>
      </c>
    </row>
    <row r="147" spans="1:3" x14ac:dyDescent="0.45">
      <c r="A147" s="1" t="s">
        <v>161</v>
      </c>
      <c r="B147" s="1">
        <v>34</v>
      </c>
      <c r="C147" s="84">
        <v>0.53675000000000006</v>
      </c>
    </row>
    <row r="148" spans="1:3" x14ac:dyDescent="0.45">
      <c r="A148" s="1" t="s">
        <v>162</v>
      </c>
      <c r="B148" s="1">
        <v>94</v>
      </c>
      <c r="C148" s="84">
        <v>0.27775</v>
      </c>
    </row>
    <row r="149" spans="1:3" x14ac:dyDescent="0.45">
      <c r="A149" s="1" t="s">
        <v>225</v>
      </c>
      <c r="B149" s="1">
        <v>1758</v>
      </c>
      <c r="C149" s="84">
        <v>0.31574999999999998</v>
      </c>
    </row>
    <row r="150" spans="1:3" x14ac:dyDescent="0.45">
      <c r="A150" s="1" t="s">
        <v>163</v>
      </c>
      <c r="B150" s="1">
        <v>249</v>
      </c>
      <c r="C150" s="84">
        <v>0.51150000000000007</v>
      </c>
    </row>
    <row r="151" spans="1:3" x14ac:dyDescent="0.45">
      <c r="A151" s="1" t="s">
        <v>164</v>
      </c>
      <c r="B151" s="1">
        <v>597</v>
      </c>
      <c r="C151" s="84">
        <v>0.46725000000000005</v>
      </c>
    </row>
    <row r="152" spans="1:3" x14ac:dyDescent="0.45">
      <c r="A152" s="1" t="s">
        <v>166</v>
      </c>
      <c r="B152" s="1">
        <v>46</v>
      </c>
      <c r="C152" s="84">
        <v>0.53675000000000006</v>
      </c>
    </row>
    <row r="153" spans="1:3" x14ac:dyDescent="0.45">
      <c r="A153" s="1" t="s">
        <v>167</v>
      </c>
      <c r="B153" s="1">
        <v>41</v>
      </c>
      <c r="C153" s="84">
        <v>0.31574999999999998</v>
      </c>
    </row>
    <row r="154" spans="1:3" x14ac:dyDescent="0.45">
      <c r="A154" s="1" t="s">
        <v>168</v>
      </c>
      <c r="B154" s="1">
        <v>963</v>
      </c>
      <c r="C154" s="84">
        <v>0.75774999999999992</v>
      </c>
    </row>
    <row r="155" spans="1:3" x14ac:dyDescent="0.45">
      <c r="A155" s="1" t="s">
        <v>169</v>
      </c>
      <c r="B155" s="1">
        <v>886</v>
      </c>
      <c r="C155" s="84">
        <v>0.15787499999999999</v>
      </c>
    </row>
    <row r="156" spans="1:3" x14ac:dyDescent="0.45">
      <c r="A156" s="1" t="s">
        <v>170</v>
      </c>
      <c r="B156" s="1">
        <v>992</v>
      </c>
      <c r="C156" s="84">
        <v>0.27775</v>
      </c>
    </row>
    <row r="157" spans="1:3" x14ac:dyDescent="0.45">
      <c r="A157" s="1" t="s">
        <v>171</v>
      </c>
      <c r="B157" s="1">
        <v>255</v>
      </c>
      <c r="C157" s="84">
        <v>0.1895</v>
      </c>
    </row>
    <row r="158" spans="1:3" x14ac:dyDescent="0.45">
      <c r="A158" s="1" t="s">
        <v>172</v>
      </c>
      <c r="B158" s="1">
        <v>66</v>
      </c>
      <c r="C158" s="84">
        <v>0.31574999999999998</v>
      </c>
    </row>
    <row r="159" spans="1:3" x14ac:dyDescent="0.45">
      <c r="A159" s="1" t="s">
        <v>174</v>
      </c>
      <c r="B159" s="1">
        <v>228</v>
      </c>
      <c r="C159" s="84">
        <v>0.31574999999999998</v>
      </c>
    </row>
    <row r="160" spans="1:3" x14ac:dyDescent="0.45">
      <c r="A160" s="1" t="s">
        <v>176</v>
      </c>
      <c r="B160" s="1">
        <v>1868</v>
      </c>
      <c r="C160" s="84">
        <v>0.31574999999999998</v>
      </c>
    </row>
    <row r="161" spans="1:3" x14ac:dyDescent="0.45">
      <c r="A161" s="1" t="s">
        <v>177</v>
      </c>
      <c r="B161" s="1">
        <v>216</v>
      </c>
      <c r="C161" s="84">
        <v>0.1895</v>
      </c>
    </row>
    <row r="162" spans="1:3" x14ac:dyDescent="0.45">
      <c r="A162" s="1" t="s">
        <v>178</v>
      </c>
      <c r="B162" s="1">
        <v>90</v>
      </c>
      <c r="C162" s="84">
        <v>0.1895</v>
      </c>
    </row>
    <row r="163" spans="1:3" x14ac:dyDescent="0.45">
      <c r="A163" s="1" t="s">
        <v>179</v>
      </c>
      <c r="B163" s="1">
        <v>993</v>
      </c>
      <c r="C163" s="84">
        <v>0.51150000000000007</v>
      </c>
    </row>
    <row r="164" spans="1:3" x14ac:dyDescent="0.45">
      <c r="A164" s="1" t="s">
        <v>180</v>
      </c>
      <c r="B164" s="1">
        <v>256</v>
      </c>
      <c r="C164" s="84">
        <v>0.31574999999999998</v>
      </c>
    </row>
    <row r="165" spans="1:3" x14ac:dyDescent="0.45">
      <c r="A165" s="1" t="s">
        <v>181</v>
      </c>
      <c r="B165" s="1">
        <v>380</v>
      </c>
      <c r="C165" s="84">
        <v>0.51150000000000007</v>
      </c>
    </row>
    <row r="166" spans="1:3" x14ac:dyDescent="0.45">
      <c r="A166" s="1" t="s">
        <v>226</v>
      </c>
      <c r="B166" s="1">
        <v>971</v>
      </c>
      <c r="C166" s="84">
        <v>0.1895</v>
      </c>
    </row>
    <row r="167" spans="1:3" x14ac:dyDescent="0.45">
      <c r="A167" s="1" t="s">
        <v>183</v>
      </c>
      <c r="B167" s="1">
        <v>44</v>
      </c>
      <c r="C167" s="84">
        <v>0.60624999999999996</v>
      </c>
    </row>
    <row r="168" spans="1:3" x14ac:dyDescent="0.45">
      <c r="A168" s="1" t="s">
        <v>227</v>
      </c>
      <c r="B168" s="1">
        <v>1</v>
      </c>
      <c r="C168" s="84">
        <v>0.23362500000000003</v>
      </c>
    </row>
    <row r="169" spans="1:3" x14ac:dyDescent="0.45">
      <c r="A169" s="1" t="s">
        <v>185</v>
      </c>
      <c r="B169" s="1">
        <v>598</v>
      </c>
      <c r="C169" s="84">
        <v>0.31574999999999998</v>
      </c>
    </row>
    <row r="170" spans="1:3" x14ac:dyDescent="0.45">
      <c r="A170" s="1" t="s">
        <v>186</v>
      </c>
      <c r="B170" s="1">
        <v>998</v>
      </c>
      <c r="C170" s="84">
        <v>0.51150000000000007</v>
      </c>
    </row>
    <row r="171" spans="1:3" x14ac:dyDescent="0.45">
      <c r="A171" s="1" t="s">
        <v>187</v>
      </c>
      <c r="B171" s="1">
        <v>58</v>
      </c>
      <c r="C171" s="84">
        <v>0.31574999999999998</v>
      </c>
    </row>
    <row r="172" spans="1:3" x14ac:dyDescent="0.45">
      <c r="A172" s="1" t="s">
        <v>188</v>
      </c>
      <c r="B172" s="1">
        <v>84</v>
      </c>
      <c r="C172" s="84">
        <v>0.1895</v>
      </c>
    </row>
    <row r="173" spans="1:3" x14ac:dyDescent="0.45">
      <c r="A173" s="1" t="s">
        <v>190</v>
      </c>
      <c r="B173" s="1">
        <v>967</v>
      </c>
      <c r="C173" s="84">
        <v>0.31574999999999998</v>
      </c>
    </row>
    <row r="174" spans="1:3" x14ac:dyDescent="0.45">
      <c r="A174" s="1" t="s">
        <v>191</v>
      </c>
      <c r="B174" s="1">
        <v>260</v>
      </c>
      <c r="C174" s="84">
        <v>0.31574999999999998</v>
      </c>
    </row>
    <row r="175" spans="1:3" x14ac:dyDescent="0.45">
      <c r="A175" s="1" t="s">
        <v>192</v>
      </c>
      <c r="B175" s="1">
        <v>263</v>
      </c>
      <c r="C175" s="84">
        <v>0.1895</v>
      </c>
    </row>
  </sheetData>
  <pageMargins left="0.7" right="0.7" top="0.75" bottom="0.75" header="0.3" footer="0.3"/>
  <headerFooter>
    <oddFooter>&amp;L_x000D_&amp;1#&amp;"Calibri"&amp;10&amp;K000000 Restricted/Internal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20FD-3EE5-4EFC-9C89-DD6CBA2C552F}">
  <dimension ref="A1:J71"/>
  <sheetViews>
    <sheetView topLeftCell="A53" workbookViewId="0">
      <selection activeCell="C61" sqref="C61"/>
    </sheetView>
  </sheetViews>
  <sheetFormatPr defaultRowHeight="14.25" x14ac:dyDescent="0.45"/>
  <cols>
    <col min="1" max="1" width="26.53125" bestFit="1" customWidth="1"/>
    <col min="2" max="2" width="17.1328125" style="81" customWidth="1"/>
  </cols>
  <sheetData>
    <row r="1" spans="1:2" ht="26.65" x14ac:dyDescent="0.85">
      <c r="A1" s="72" t="s">
        <v>617</v>
      </c>
    </row>
    <row r="2" spans="1:2" ht="28.5" x14ac:dyDescent="0.45">
      <c r="A2" s="7" t="s">
        <v>8</v>
      </c>
      <c r="B2" s="82" t="s">
        <v>620</v>
      </c>
    </row>
    <row r="3" spans="1:2" x14ac:dyDescent="0.45">
      <c r="A3" s="1" t="s">
        <v>14</v>
      </c>
      <c r="B3" s="95">
        <v>686.06087500000001</v>
      </c>
    </row>
    <row r="4" spans="1:2" x14ac:dyDescent="0.45">
      <c r="A4" s="1" t="s">
        <v>29</v>
      </c>
      <c r="B4" s="95">
        <v>587.96512499999994</v>
      </c>
    </row>
    <row r="5" spans="1:2" x14ac:dyDescent="0.45">
      <c r="A5" s="1" t="s">
        <v>155</v>
      </c>
      <c r="B5" s="95">
        <v>307.78925000000004</v>
      </c>
    </row>
    <row r="6" spans="1:2" x14ac:dyDescent="0.45">
      <c r="A6" s="1" t="s">
        <v>114</v>
      </c>
      <c r="B6" s="95">
        <v>306.73749999999995</v>
      </c>
    </row>
    <row r="7" spans="1:2" x14ac:dyDescent="0.45">
      <c r="A7" s="1" t="s">
        <v>44</v>
      </c>
      <c r="B7" s="95">
        <v>303.28224999999998</v>
      </c>
    </row>
    <row r="8" spans="1:2" x14ac:dyDescent="0.45">
      <c r="A8" s="1" t="s">
        <v>31</v>
      </c>
      <c r="B8" s="95">
        <v>303.11174999999997</v>
      </c>
    </row>
    <row r="9" spans="1:2" x14ac:dyDescent="0.45">
      <c r="A9" s="1" t="s">
        <v>61</v>
      </c>
      <c r="B9" s="95">
        <v>300.76862499999999</v>
      </c>
    </row>
    <row r="10" spans="1:2" x14ac:dyDescent="0.45">
      <c r="A10" s="1" t="s">
        <v>117</v>
      </c>
      <c r="B10" s="95">
        <v>299.71137500000003</v>
      </c>
    </row>
    <row r="11" spans="1:2" x14ac:dyDescent="0.45">
      <c r="A11" s="1" t="s">
        <v>173</v>
      </c>
      <c r="B11" s="95">
        <v>112.40875000000001</v>
      </c>
    </row>
    <row r="12" spans="1:2" x14ac:dyDescent="0.45">
      <c r="A12" s="1" t="s">
        <v>116</v>
      </c>
      <c r="B12" s="95">
        <v>63.678999999999995</v>
      </c>
    </row>
    <row r="13" spans="1:2" x14ac:dyDescent="0.45">
      <c r="A13" s="1" t="s">
        <v>181</v>
      </c>
      <c r="B13" s="95">
        <v>62.402374999999999</v>
      </c>
    </row>
    <row r="14" spans="1:2" x14ac:dyDescent="0.45">
      <c r="A14" s="1" t="s">
        <v>228</v>
      </c>
      <c r="B14" s="95">
        <v>60.775499999999994</v>
      </c>
    </row>
    <row r="15" spans="1:2" x14ac:dyDescent="0.45">
      <c r="A15" s="1" t="s">
        <v>96</v>
      </c>
      <c r="B15" s="95">
        <v>36.252124999999999</v>
      </c>
    </row>
    <row r="16" spans="1:2" x14ac:dyDescent="0.45">
      <c r="A16" s="1" t="s">
        <v>11</v>
      </c>
      <c r="B16" s="95">
        <v>36.096000000000004</v>
      </c>
    </row>
    <row r="17" spans="1:2" x14ac:dyDescent="0.45">
      <c r="A17" s="1" t="s">
        <v>46</v>
      </c>
      <c r="B17" s="95">
        <v>36.096000000000004</v>
      </c>
    </row>
    <row r="18" spans="1:2" x14ac:dyDescent="0.45">
      <c r="A18" s="1" t="s">
        <v>52</v>
      </c>
      <c r="B18" s="95">
        <v>36.096000000000004</v>
      </c>
    </row>
    <row r="19" spans="1:2" x14ac:dyDescent="0.45">
      <c r="A19" s="1" t="s">
        <v>54</v>
      </c>
      <c r="B19" s="95">
        <v>36.096000000000004</v>
      </c>
    </row>
    <row r="20" spans="1:2" x14ac:dyDescent="0.45">
      <c r="A20" s="1" t="s">
        <v>65</v>
      </c>
      <c r="B20" s="95">
        <v>36.096000000000004</v>
      </c>
    </row>
    <row r="21" spans="1:2" x14ac:dyDescent="0.45">
      <c r="A21" s="1" t="s">
        <v>69</v>
      </c>
      <c r="B21" s="95">
        <v>36.096000000000004</v>
      </c>
    </row>
    <row r="22" spans="1:2" x14ac:dyDescent="0.45">
      <c r="A22" s="1" t="s">
        <v>75</v>
      </c>
      <c r="B22" s="95">
        <v>36.096000000000004</v>
      </c>
    </row>
    <row r="23" spans="1:2" x14ac:dyDescent="0.45">
      <c r="A23" s="1" t="s">
        <v>84</v>
      </c>
      <c r="B23" s="95">
        <v>36.096000000000004</v>
      </c>
    </row>
    <row r="24" spans="1:2" x14ac:dyDescent="0.45">
      <c r="A24" s="1" t="s">
        <v>86</v>
      </c>
      <c r="B24" s="95">
        <v>36.096000000000004</v>
      </c>
    </row>
    <row r="25" spans="1:2" x14ac:dyDescent="0.45">
      <c r="A25" s="1" t="s">
        <v>218</v>
      </c>
      <c r="B25" s="95">
        <v>36.096000000000004</v>
      </c>
    </row>
    <row r="26" spans="1:2" x14ac:dyDescent="0.45">
      <c r="A26" s="1" t="s">
        <v>123</v>
      </c>
      <c r="B26" s="95">
        <v>36.096000000000004</v>
      </c>
    </row>
    <row r="27" spans="1:2" x14ac:dyDescent="0.45">
      <c r="A27" s="1" t="s">
        <v>131</v>
      </c>
      <c r="B27" s="95">
        <v>36.096000000000004</v>
      </c>
    </row>
    <row r="28" spans="1:2" x14ac:dyDescent="0.45">
      <c r="A28" s="1" t="s">
        <v>140</v>
      </c>
      <c r="B28" s="95">
        <v>36.096000000000004</v>
      </c>
    </row>
    <row r="29" spans="1:2" x14ac:dyDescent="0.45">
      <c r="A29" s="1" t="s">
        <v>145</v>
      </c>
      <c r="B29" s="95">
        <v>36.096000000000004</v>
      </c>
    </row>
    <row r="30" spans="1:2" x14ac:dyDescent="0.45">
      <c r="A30" s="1" t="s">
        <v>158</v>
      </c>
      <c r="B30" s="95">
        <v>36.096000000000004</v>
      </c>
    </row>
    <row r="31" spans="1:2" x14ac:dyDescent="0.45">
      <c r="A31" s="1" t="s">
        <v>161</v>
      </c>
      <c r="B31" s="95">
        <v>36.096000000000004</v>
      </c>
    </row>
    <row r="32" spans="1:2" x14ac:dyDescent="0.45">
      <c r="A32" s="1" t="s">
        <v>178</v>
      </c>
      <c r="B32" s="95">
        <v>36.096000000000004</v>
      </c>
    </row>
    <row r="33" spans="1:2" x14ac:dyDescent="0.45">
      <c r="A33" s="1" t="s">
        <v>229</v>
      </c>
      <c r="B33" s="95">
        <v>36.096000000000004</v>
      </c>
    </row>
    <row r="34" spans="1:2" x14ac:dyDescent="0.45">
      <c r="A34" s="1" t="s">
        <v>167</v>
      </c>
      <c r="B34" s="95">
        <v>31.535000000000004</v>
      </c>
    </row>
    <row r="35" spans="1:2" x14ac:dyDescent="0.45">
      <c r="A35" s="1" t="s">
        <v>146</v>
      </c>
      <c r="B35" s="95">
        <v>29.115625000000001</v>
      </c>
    </row>
    <row r="36" spans="1:2" x14ac:dyDescent="0.45">
      <c r="A36" s="1" t="s">
        <v>230</v>
      </c>
      <c r="B36" s="95">
        <v>28.391375</v>
      </c>
    </row>
    <row r="37" spans="1:2" x14ac:dyDescent="0.45">
      <c r="A37" s="1" t="s">
        <v>151</v>
      </c>
      <c r="B37" s="95">
        <v>28.160000000000004</v>
      </c>
    </row>
    <row r="38" spans="1:2" x14ac:dyDescent="0.45">
      <c r="A38" s="1" t="s">
        <v>33</v>
      </c>
      <c r="B38" s="95">
        <v>28.159999999999997</v>
      </c>
    </row>
    <row r="39" spans="1:2" x14ac:dyDescent="0.45">
      <c r="A39" s="1" t="s">
        <v>138</v>
      </c>
      <c r="B39" s="95">
        <v>28.159999999999997</v>
      </c>
    </row>
    <row r="40" spans="1:2" x14ac:dyDescent="0.45">
      <c r="A40" s="1" t="s">
        <v>18</v>
      </c>
      <c r="B40" s="95">
        <v>25.190375</v>
      </c>
    </row>
    <row r="41" spans="1:2" x14ac:dyDescent="0.45">
      <c r="A41" s="1" t="s">
        <v>102</v>
      </c>
      <c r="B41" s="95">
        <v>25.190375</v>
      </c>
    </row>
    <row r="42" spans="1:2" x14ac:dyDescent="0.45">
      <c r="A42" s="1" t="s">
        <v>97</v>
      </c>
      <c r="B42" s="95">
        <v>24.760124999999999</v>
      </c>
    </row>
    <row r="43" spans="1:2" x14ac:dyDescent="0.45">
      <c r="A43" s="1" t="s">
        <v>20</v>
      </c>
      <c r="B43" s="95">
        <v>23.750374999999998</v>
      </c>
    </row>
    <row r="44" spans="1:2" x14ac:dyDescent="0.45">
      <c r="A44" s="1" t="s">
        <v>30</v>
      </c>
      <c r="B44" s="95">
        <v>22.056374999999999</v>
      </c>
    </row>
    <row r="45" spans="1:2" x14ac:dyDescent="0.45">
      <c r="A45" s="1" t="s">
        <v>77</v>
      </c>
      <c r="B45" s="95">
        <v>21.130125</v>
      </c>
    </row>
    <row r="46" spans="1:2" x14ac:dyDescent="0.45">
      <c r="A46" s="1" t="s">
        <v>125</v>
      </c>
      <c r="B46" s="95">
        <v>19.712000000000003</v>
      </c>
    </row>
    <row r="47" spans="1:2" x14ac:dyDescent="0.45">
      <c r="A47" s="1" t="s">
        <v>35</v>
      </c>
      <c r="B47" s="95">
        <v>17.611499999999999</v>
      </c>
    </row>
    <row r="48" spans="1:2" x14ac:dyDescent="0.45">
      <c r="A48" s="1" t="s">
        <v>143</v>
      </c>
      <c r="B48" s="95">
        <v>16.899999999999999</v>
      </c>
    </row>
    <row r="49" spans="1:10" x14ac:dyDescent="0.45">
      <c r="A49" s="1" t="s">
        <v>89</v>
      </c>
      <c r="B49" s="95">
        <v>16.896000000000001</v>
      </c>
    </row>
    <row r="50" spans="1:10" x14ac:dyDescent="0.45">
      <c r="A50" s="1" t="s">
        <v>132</v>
      </c>
      <c r="B50" s="95">
        <v>14.915624999999999</v>
      </c>
    </row>
    <row r="51" spans="1:10" x14ac:dyDescent="0.45">
      <c r="A51" s="1" t="s">
        <v>23</v>
      </c>
      <c r="B51" s="95">
        <v>12.122875000000001</v>
      </c>
    </row>
    <row r="52" spans="1:10" x14ac:dyDescent="0.45">
      <c r="A52" s="1" t="s">
        <v>103</v>
      </c>
      <c r="B52" s="95">
        <v>12.023250000000001</v>
      </c>
    </row>
    <row r="53" spans="1:10" x14ac:dyDescent="0.45">
      <c r="A53" s="1" t="s">
        <v>39</v>
      </c>
      <c r="B53" s="95">
        <v>11.264000000000001</v>
      </c>
    </row>
    <row r="54" spans="1:10" x14ac:dyDescent="0.45">
      <c r="A54" s="1" t="s">
        <v>91</v>
      </c>
      <c r="B54" s="95">
        <v>6.8230000000000004</v>
      </c>
    </row>
    <row r="55" spans="1:10" x14ac:dyDescent="0.45">
      <c r="A55" s="1" t="s">
        <v>76</v>
      </c>
      <c r="B55" s="95">
        <v>5.6903749999999995</v>
      </c>
    </row>
    <row r="56" spans="1:10" x14ac:dyDescent="0.45">
      <c r="A56" s="1" t="s">
        <v>16</v>
      </c>
      <c r="B56" s="95">
        <v>5.6496250000000003</v>
      </c>
    </row>
    <row r="57" spans="1:10" x14ac:dyDescent="0.45">
      <c r="A57" s="1" t="s">
        <v>122</v>
      </c>
      <c r="B57" s="95">
        <v>5.6320000000000006</v>
      </c>
    </row>
    <row r="58" spans="1:10" x14ac:dyDescent="0.45">
      <c r="A58" s="1" t="s">
        <v>159</v>
      </c>
      <c r="B58" s="95">
        <v>5.6320000000000006</v>
      </c>
    </row>
    <row r="59" spans="1:10" x14ac:dyDescent="0.45">
      <c r="A59" s="1" t="s">
        <v>104</v>
      </c>
      <c r="B59" s="95">
        <v>5.0687499999999996</v>
      </c>
    </row>
    <row r="60" spans="1:10" x14ac:dyDescent="0.45">
      <c r="A60" s="1" t="s">
        <v>169</v>
      </c>
      <c r="B60" s="95">
        <v>4.5056250000000002</v>
      </c>
    </row>
    <row r="61" spans="1:10" x14ac:dyDescent="0.45">
      <c r="A61" s="1" t="s">
        <v>17</v>
      </c>
      <c r="B61" s="95">
        <v>4.2112500000000006</v>
      </c>
      <c r="J61">
        <v>4.2069999999999999</v>
      </c>
    </row>
    <row r="62" spans="1:10" x14ac:dyDescent="0.45">
      <c r="A62" s="1" t="s">
        <v>47</v>
      </c>
      <c r="B62" s="95">
        <v>4.2112500000000006</v>
      </c>
      <c r="I62">
        <v>1.575</v>
      </c>
      <c r="J62" s="71">
        <f>I62/J61</f>
        <v>0.37437603993344426</v>
      </c>
    </row>
    <row r="63" spans="1:10" x14ac:dyDescent="0.45">
      <c r="A63" s="1" t="s">
        <v>166</v>
      </c>
      <c r="B63" s="95">
        <v>4.2112500000000006</v>
      </c>
      <c r="I63">
        <v>1.5</v>
      </c>
      <c r="J63" s="71">
        <f>I63/J61</f>
        <v>0.3565486094604231</v>
      </c>
    </row>
    <row r="64" spans="1:10" x14ac:dyDescent="0.45">
      <c r="A64" s="1" t="s">
        <v>62</v>
      </c>
      <c r="B64" s="95">
        <v>4.125</v>
      </c>
      <c r="I64">
        <v>3.1</v>
      </c>
      <c r="J64" s="71">
        <f>I64/J61</f>
        <v>0.73686712621820782</v>
      </c>
    </row>
    <row r="65" spans="1:10" x14ac:dyDescent="0.45">
      <c r="A65" s="1" t="s">
        <v>139</v>
      </c>
      <c r="B65" s="95">
        <v>4.125</v>
      </c>
      <c r="I65">
        <v>4.2</v>
      </c>
      <c r="J65" s="71">
        <f>I65/J61</f>
        <v>0.9983361064891848</v>
      </c>
    </row>
    <row r="66" spans="1:10" x14ac:dyDescent="0.45">
      <c r="A66" s="1" t="s">
        <v>188</v>
      </c>
      <c r="B66" s="95">
        <v>3.9424999999999999</v>
      </c>
      <c r="I66">
        <v>6.5</v>
      </c>
      <c r="J66" s="71">
        <f>I66/J61</f>
        <v>1.5450439743285003</v>
      </c>
    </row>
    <row r="67" spans="1:10" x14ac:dyDescent="0.45">
      <c r="A67" s="1" t="s">
        <v>162</v>
      </c>
      <c r="B67" s="95">
        <v>3.9423750000000002</v>
      </c>
    </row>
    <row r="68" spans="1:10" x14ac:dyDescent="0.45">
      <c r="A68" s="70" t="s">
        <v>172</v>
      </c>
      <c r="B68" s="95">
        <v>3.6625000000000001</v>
      </c>
    </row>
    <row r="69" spans="1:10" x14ac:dyDescent="0.45">
      <c r="A69" s="70" t="s">
        <v>78</v>
      </c>
      <c r="B69" s="95">
        <v>2.5343749999999998</v>
      </c>
    </row>
    <row r="70" spans="1:10" x14ac:dyDescent="0.45">
      <c r="A70" s="70" t="s">
        <v>154</v>
      </c>
      <c r="B70" s="95">
        <v>0.79337500000000005</v>
      </c>
    </row>
    <row r="71" spans="1:10" x14ac:dyDescent="0.45">
      <c r="A71" s="70" t="s">
        <v>74</v>
      </c>
      <c r="B71" s="95">
        <v>0.56325000000000003</v>
      </c>
    </row>
  </sheetData>
  <pageMargins left="0.7" right="0.7" top="0.75" bottom="0.75" header="0.3" footer="0.3"/>
  <headerFooter>
    <oddFooter>&amp;L_x000D_&amp;1#&amp;"Calibri"&amp;10&amp;K000000 Restricted/Internal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630A-2F56-486F-A72B-3A571D48EEB8}">
  <dimension ref="A1:P149"/>
  <sheetViews>
    <sheetView topLeftCell="C11" workbookViewId="0">
      <selection activeCell="M19" sqref="M19"/>
    </sheetView>
  </sheetViews>
  <sheetFormatPr defaultRowHeight="14.25" x14ac:dyDescent="0.45"/>
  <cols>
    <col min="1" max="1" width="11.46484375" style="61" customWidth="1"/>
    <col min="2" max="2" width="19.53125" customWidth="1"/>
    <col min="3" max="3" width="29.46484375" customWidth="1"/>
    <col min="4" max="4" width="26.53125" style="57" hidden="1" customWidth="1"/>
    <col min="5" max="5" width="13.46484375" style="69" hidden="1" customWidth="1"/>
    <col min="6" max="6" width="15.86328125" hidden="1" customWidth="1"/>
    <col min="7" max="7" width="14.86328125" bestFit="1" customWidth="1"/>
    <col min="8" max="8" width="11.46484375" bestFit="1" customWidth="1"/>
    <col min="9" max="9" width="26.6640625" customWidth="1"/>
    <col min="10" max="10" width="25.46484375" customWidth="1"/>
    <col min="11" max="11" width="14.53125" style="65" bestFit="1" customWidth="1"/>
    <col min="12" max="12" width="9.53125" bestFit="1" customWidth="1"/>
  </cols>
  <sheetData>
    <row r="1" spans="1:12" ht="26.65" x14ac:dyDescent="0.85">
      <c r="A1" s="72" t="s">
        <v>617</v>
      </c>
    </row>
    <row r="2" spans="1:12" ht="14.45" customHeight="1" x14ac:dyDescent="0.45">
      <c r="A2" s="9"/>
      <c r="B2" s="10"/>
      <c r="C2" s="10"/>
      <c r="D2" s="10"/>
      <c r="E2" s="10"/>
      <c r="F2" s="10"/>
      <c r="G2" s="86" t="s">
        <v>621</v>
      </c>
      <c r="H2" s="87"/>
      <c r="I2" s="87"/>
      <c r="J2" s="87"/>
      <c r="K2" s="88"/>
      <c r="L2" s="90"/>
    </row>
    <row r="3" spans="1:12" ht="15" customHeight="1" x14ac:dyDescent="0.45">
      <c r="A3" s="11" t="s">
        <v>0</v>
      </c>
      <c r="B3" s="11" t="s">
        <v>231</v>
      </c>
      <c r="C3" s="11" t="s">
        <v>232</v>
      </c>
      <c r="D3" s="11" t="s">
        <v>233</v>
      </c>
      <c r="E3" s="12" t="s">
        <v>234</v>
      </c>
      <c r="F3" s="12" t="s">
        <v>235</v>
      </c>
      <c r="G3" s="83" t="s">
        <v>236</v>
      </c>
      <c r="H3" s="83" t="s">
        <v>237</v>
      </c>
      <c r="I3" s="83" t="s">
        <v>238</v>
      </c>
      <c r="J3" s="83" t="s">
        <v>239</v>
      </c>
      <c r="K3" s="89" t="s">
        <v>240</v>
      </c>
      <c r="L3" s="83" t="s">
        <v>241</v>
      </c>
    </row>
    <row r="4" spans="1:12" ht="15" customHeight="1" x14ac:dyDescent="0.45">
      <c r="A4" s="13">
        <v>1</v>
      </c>
      <c r="B4" s="14" t="s">
        <v>11</v>
      </c>
      <c r="C4" s="15" t="s">
        <v>242</v>
      </c>
      <c r="D4" s="14" t="s">
        <v>243</v>
      </c>
      <c r="E4" s="16" t="s">
        <v>244</v>
      </c>
      <c r="F4" s="17" t="s">
        <v>245</v>
      </c>
      <c r="G4" s="91">
        <v>0.18525</v>
      </c>
      <c r="H4" s="91">
        <v>0.30875000000000002</v>
      </c>
      <c r="I4" s="91">
        <v>0.61750000000000005</v>
      </c>
      <c r="J4" s="91"/>
      <c r="K4" s="91">
        <v>0.625</v>
      </c>
      <c r="L4" s="91">
        <v>6.1750000000000006E-2</v>
      </c>
    </row>
    <row r="5" spans="1:12" ht="15" customHeight="1" x14ac:dyDescent="0.45">
      <c r="A5" s="13">
        <f>+A4+1</f>
        <v>2</v>
      </c>
      <c r="B5" s="18" t="s">
        <v>14</v>
      </c>
      <c r="C5" s="19" t="s">
        <v>246</v>
      </c>
      <c r="D5" s="14" t="s">
        <v>247</v>
      </c>
      <c r="E5" s="20" t="s">
        <v>248</v>
      </c>
      <c r="F5" s="17" t="s">
        <v>249</v>
      </c>
      <c r="G5" s="91">
        <v>3.1574999999999998</v>
      </c>
      <c r="H5" s="91">
        <v>3.1574999999999998</v>
      </c>
      <c r="I5" s="91">
        <v>3.1574999999999998</v>
      </c>
      <c r="J5" s="91"/>
      <c r="K5" s="91">
        <v>0.625</v>
      </c>
      <c r="L5" s="91">
        <v>0.78937499999999994</v>
      </c>
    </row>
    <row r="6" spans="1:12" ht="15" customHeight="1" x14ac:dyDescent="0.45">
      <c r="A6" s="13">
        <f t="shared" ref="A6:A69" si="0">+A5+1</f>
        <v>3</v>
      </c>
      <c r="B6" s="14" t="s">
        <v>16</v>
      </c>
      <c r="C6" s="19" t="s">
        <v>250</v>
      </c>
      <c r="D6" s="14" t="s">
        <v>250</v>
      </c>
      <c r="E6" s="20" t="s">
        <v>251</v>
      </c>
      <c r="F6" s="17" t="s">
        <v>252</v>
      </c>
      <c r="G6" s="91">
        <v>0.171875</v>
      </c>
      <c r="H6" s="91">
        <v>0.171875</v>
      </c>
      <c r="I6" s="91">
        <v>1.5437500000000002</v>
      </c>
      <c r="J6" s="91"/>
      <c r="K6" s="91">
        <v>0.625</v>
      </c>
      <c r="L6" s="91">
        <v>3.4375000000000003E-2</v>
      </c>
    </row>
    <row r="7" spans="1:12" ht="15" customHeight="1" x14ac:dyDescent="0.45">
      <c r="A7" s="13">
        <f t="shared" si="0"/>
        <v>4</v>
      </c>
      <c r="B7" s="14" t="s">
        <v>16</v>
      </c>
      <c r="C7" s="19" t="s">
        <v>253</v>
      </c>
      <c r="D7" s="14" t="s">
        <v>253</v>
      </c>
      <c r="E7" s="20" t="s">
        <v>254</v>
      </c>
      <c r="F7" s="17" t="s">
        <v>252</v>
      </c>
      <c r="G7" s="91">
        <v>0.34375</v>
      </c>
      <c r="H7" s="91">
        <v>0.34375</v>
      </c>
      <c r="I7" s="91">
        <v>1.5437500000000002</v>
      </c>
      <c r="J7" s="91"/>
      <c r="K7" s="91">
        <v>0.625</v>
      </c>
      <c r="L7" s="91">
        <v>0.10312499999999999</v>
      </c>
    </row>
    <row r="8" spans="1:12" ht="15" customHeight="1" x14ac:dyDescent="0.45">
      <c r="A8" s="13">
        <f t="shared" si="0"/>
        <v>5</v>
      </c>
      <c r="B8" s="14" t="s">
        <v>16</v>
      </c>
      <c r="C8" s="19" t="s">
        <v>242</v>
      </c>
      <c r="D8" s="14" t="s">
        <v>255</v>
      </c>
      <c r="E8" s="20" t="s">
        <v>256</v>
      </c>
      <c r="F8" s="17" t="s">
        <v>245</v>
      </c>
      <c r="G8" s="91">
        <v>1.5437500000000002</v>
      </c>
      <c r="H8" s="91">
        <v>1.5437500000000002</v>
      </c>
      <c r="I8" s="91">
        <v>1.5437500000000002</v>
      </c>
      <c r="J8" s="91"/>
      <c r="K8" s="91">
        <v>0.625</v>
      </c>
      <c r="L8" s="91">
        <v>0.30875000000000002</v>
      </c>
    </row>
    <row r="9" spans="1:12" ht="15" customHeight="1" x14ac:dyDescent="0.45">
      <c r="A9" s="13">
        <f t="shared" si="0"/>
        <v>6</v>
      </c>
      <c r="B9" s="14" t="s">
        <v>17</v>
      </c>
      <c r="C9" s="19" t="s">
        <v>257</v>
      </c>
      <c r="D9" s="14" t="s">
        <v>258</v>
      </c>
      <c r="E9" s="20" t="s">
        <v>259</v>
      </c>
      <c r="F9" s="17" t="s">
        <v>245</v>
      </c>
      <c r="G9" s="91">
        <v>0.92625000000000002</v>
      </c>
      <c r="H9" s="91">
        <v>0.92625000000000002</v>
      </c>
      <c r="I9" s="91">
        <v>6.1750000000000007</v>
      </c>
      <c r="J9" s="91"/>
      <c r="K9" s="91">
        <v>0.625</v>
      </c>
      <c r="L9" s="91">
        <v>0.12350000000000001</v>
      </c>
    </row>
    <row r="10" spans="1:12" ht="15" customHeight="1" x14ac:dyDescent="0.45">
      <c r="A10" s="13">
        <f t="shared" si="0"/>
        <v>7</v>
      </c>
      <c r="B10" s="14" t="s">
        <v>17</v>
      </c>
      <c r="C10" s="21" t="s">
        <v>260</v>
      </c>
      <c r="D10" s="14" t="s">
        <v>261</v>
      </c>
      <c r="E10" s="20" t="s">
        <v>262</v>
      </c>
      <c r="F10" s="17" t="s">
        <v>245</v>
      </c>
      <c r="G10" s="91">
        <v>1.8525</v>
      </c>
      <c r="H10" s="91">
        <v>1.8525</v>
      </c>
      <c r="I10" s="91">
        <v>3.0875000000000004</v>
      </c>
      <c r="J10" s="91"/>
      <c r="K10" s="91">
        <v>0.625</v>
      </c>
      <c r="L10" s="91">
        <v>0.30875000000000002</v>
      </c>
    </row>
    <row r="11" spans="1:12" ht="15" customHeight="1" x14ac:dyDescent="0.45">
      <c r="A11" s="13">
        <f t="shared" si="0"/>
        <v>8</v>
      </c>
      <c r="B11" s="14" t="s">
        <v>18</v>
      </c>
      <c r="C11" s="23" t="s">
        <v>263</v>
      </c>
      <c r="D11" s="24" t="s">
        <v>264</v>
      </c>
      <c r="E11" s="25" t="s">
        <v>265</v>
      </c>
      <c r="F11" s="17" t="s">
        <v>249</v>
      </c>
      <c r="G11" s="91">
        <v>0.52625000000000011</v>
      </c>
      <c r="H11" s="91">
        <v>1.0525000000000002</v>
      </c>
      <c r="I11" s="91">
        <v>2.6312500000000001</v>
      </c>
      <c r="J11" s="91"/>
      <c r="K11" s="91">
        <v>0.625</v>
      </c>
      <c r="L11" s="91">
        <v>0.10525</v>
      </c>
    </row>
    <row r="12" spans="1:12" ht="15" customHeight="1" x14ac:dyDescent="0.45">
      <c r="A12" s="13">
        <f t="shared" si="0"/>
        <v>9</v>
      </c>
      <c r="B12" s="14" t="s">
        <v>20</v>
      </c>
      <c r="C12" s="23" t="s">
        <v>266</v>
      </c>
      <c r="D12" s="14" t="s">
        <v>267</v>
      </c>
      <c r="E12" s="20" t="s">
        <v>268</v>
      </c>
      <c r="F12" s="17" t="s">
        <v>249</v>
      </c>
      <c r="G12" s="91">
        <v>1.0525000000000002</v>
      </c>
      <c r="H12" s="91">
        <v>1.0525000000000002</v>
      </c>
      <c r="I12" s="91">
        <v>3.1574999999999998</v>
      </c>
      <c r="J12" s="91"/>
      <c r="K12" s="91">
        <v>0.26312500000000005</v>
      </c>
      <c r="L12" s="91">
        <v>0.26312500000000005</v>
      </c>
    </row>
    <row r="13" spans="1:12" ht="15" customHeight="1" x14ac:dyDescent="0.45">
      <c r="A13" s="13">
        <f t="shared" si="0"/>
        <v>10</v>
      </c>
      <c r="B13" s="14" t="s">
        <v>23</v>
      </c>
      <c r="C13" s="26" t="s">
        <v>270</v>
      </c>
      <c r="D13" s="24" t="s">
        <v>271</v>
      </c>
      <c r="E13" s="27" t="s">
        <v>272</v>
      </c>
      <c r="F13" s="17" t="s">
        <v>245</v>
      </c>
      <c r="G13" s="91">
        <v>0.61750000000000005</v>
      </c>
      <c r="H13" s="91">
        <v>2.1612499999999999</v>
      </c>
      <c r="I13" s="91">
        <v>3.0875000000000004</v>
      </c>
      <c r="J13" s="91">
        <v>67.5</v>
      </c>
      <c r="K13" s="91">
        <v>0.625</v>
      </c>
      <c r="L13" s="91">
        <v>0.30875000000000002</v>
      </c>
    </row>
    <row r="14" spans="1:12" ht="15" customHeight="1" x14ac:dyDescent="0.45">
      <c r="A14" s="13">
        <f t="shared" si="0"/>
        <v>11</v>
      </c>
      <c r="B14" s="14" t="s">
        <v>23</v>
      </c>
      <c r="C14" s="23" t="s">
        <v>273</v>
      </c>
      <c r="D14" s="14" t="s">
        <v>274</v>
      </c>
      <c r="E14" s="28" t="s">
        <v>275</v>
      </c>
      <c r="F14" s="17" t="s">
        <v>245</v>
      </c>
      <c r="G14" s="91">
        <v>1.2350000000000001</v>
      </c>
      <c r="H14" s="91">
        <v>1.2350000000000001</v>
      </c>
      <c r="I14" s="91">
        <v>3.7050000000000001</v>
      </c>
      <c r="J14" s="91">
        <v>67.5</v>
      </c>
      <c r="K14" s="91">
        <v>0.625</v>
      </c>
      <c r="L14" s="91">
        <v>0.30875000000000002</v>
      </c>
    </row>
    <row r="15" spans="1:12" ht="15" customHeight="1" x14ac:dyDescent="0.45">
      <c r="A15" s="13">
        <f t="shared" si="0"/>
        <v>12</v>
      </c>
      <c r="B15" s="24" t="s">
        <v>29</v>
      </c>
      <c r="C15" s="23" t="s">
        <v>277</v>
      </c>
      <c r="D15" s="14" t="s">
        <v>247</v>
      </c>
      <c r="E15" s="20" t="s">
        <v>278</v>
      </c>
      <c r="F15" s="17" t="s">
        <v>249</v>
      </c>
      <c r="G15" s="91">
        <v>3.1574999999999998</v>
      </c>
      <c r="H15" s="91">
        <v>3.1574999999999998</v>
      </c>
      <c r="I15" s="91">
        <v>3.1574999999999998</v>
      </c>
      <c r="J15" s="91"/>
      <c r="K15" s="91">
        <v>0.52625000000000011</v>
      </c>
      <c r="L15" s="91">
        <v>0.78937499999999994</v>
      </c>
    </row>
    <row r="16" spans="1:12" ht="15" customHeight="1" x14ac:dyDescent="0.45">
      <c r="A16" s="13">
        <f t="shared" si="0"/>
        <v>13</v>
      </c>
      <c r="B16" s="14" t="s">
        <v>30</v>
      </c>
      <c r="C16" s="23" t="s">
        <v>279</v>
      </c>
      <c r="D16" s="14" t="s">
        <v>264</v>
      </c>
      <c r="E16" s="20" t="s">
        <v>280</v>
      </c>
      <c r="F16" s="29" t="s">
        <v>249</v>
      </c>
      <c r="G16" s="91">
        <v>0.52625000000000011</v>
      </c>
      <c r="H16" s="91">
        <v>1.0525000000000002</v>
      </c>
      <c r="I16" s="91">
        <v>5.2625000000000002</v>
      </c>
      <c r="J16" s="91"/>
      <c r="K16" s="91">
        <v>2.6312499999999999E-2</v>
      </c>
      <c r="L16" s="91">
        <v>0.26312500000000005</v>
      </c>
    </row>
    <row r="17" spans="1:12" ht="15" customHeight="1" x14ac:dyDescent="0.45">
      <c r="A17" s="13">
        <f t="shared" si="0"/>
        <v>14</v>
      </c>
      <c r="B17" s="14" t="s">
        <v>31</v>
      </c>
      <c r="C17" s="23" t="s">
        <v>281</v>
      </c>
      <c r="D17" s="14" t="s">
        <v>282</v>
      </c>
      <c r="E17" s="20" t="s">
        <v>283</v>
      </c>
      <c r="F17" s="29" t="s">
        <v>245</v>
      </c>
      <c r="G17" s="91">
        <v>0.61750000000000005</v>
      </c>
      <c r="H17" s="91">
        <v>1.8525</v>
      </c>
      <c r="I17" s="91">
        <v>3.0875000000000004</v>
      </c>
      <c r="J17" s="91"/>
      <c r="K17" s="91">
        <v>0.61750000000000005</v>
      </c>
      <c r="L17" s="91">
        <v>0.30875000000000002</v>
      </c>
    </row>
    <row r="18" spans="1:12" ht="15" customHeight="1" x14ac:dyDescent="0.45">
      <c r="A18" s="13">
        <f t="shared" si="0"/>
        <v>15</v>
      </c>
      <c r="B18" s="24" t="s">
        <v>33</v>
      </c>
      <c r="C18" s="23" t="s">
        <v>284</v>
      </c>
      <c r="D18" s="14" t="s">
        <v>285</v>
      </c>
      <c r="E18" s="31" t="s">
        <v>286</v>
      </c>
      <c r="F18" s="29" t="s">
        <v>249</v>
      </c>
      <c r="G18" s="91">
        <v>0.78937499999999994</v>
      </c>
      <c r="H18" s="91">
        <v>0.78937499999999994</v>
      </c>
      <c r="I18" s="91">
        <v>3.1574999999999998</v>
      </c>
      <c r="J18" s="91">
        <v>67.5</v>
      </c>
      <c r="K18" s="91">
        <v>0.78937499999999994</v>
      </c>
      <c r="L18" s="91">
        <v>0.26312500000000005</v>
      </c>
    </row>
    <row r="19" spans="1:12" ht="15" customHeight="1" x14ac:dyDescent="0.45">
      <c r="A19" s="13">
        <f t="shared" si="0"/>
        <v>16</v>
      </c>
      <c r="B19" s="24" t="s">
        <v>33</v>
      </c>
      <c r="C19" s="23" t="s">
        <v>287</v>
      </c>
      <c r="D19" s="14" t="s">
        <v>288</v>
      </c>
      <c r="E19" s="20" t="s">
        <v>289</v>
      </c>
      <c r="F19" s="17" t="s">
        <v>249</v>
      </c>
      <c r="G19" s="91">
        <v>0.78937499999999994</v>
      </c>
      <c r="H19" s="91">
        <v>0.78937499999999994</v>
      </c>
      <c r="I19" s="91">
        <v>2.6312500000000001</v>
      </c>
      <c r="J19" s="91"/>
      <c r="K19" s="91">
        <v>0.26312500000000005</v>
      </c>
      <c r="L19" s="91">
        <v>0.15787499999999999</v>
      </c>
    </row>
    <row r="20" spans="1:12" ht="15" customHeight="1" x14ac:dyDescent="0.45">
      <c r="A20" s="13">
        <f t="shared" si="0"/>
        <v>17</v>
      </c>
      <c r="B20" s="14" t="s">
        <v>35</v>
      </c>
      <c r="C20" s="23" t="s">
        <v>291</v>
      </c>
      <c r="D20" s="14" t="s">
        <v>291</v>
      </c>
      <c r="E20" s="20" t="s">
        <v>292</v>
      </c>
      <c r="F20" s="17" t="s">
        <v>249</v>
      </c>
      <c r="G20" s="91">
        <v>0.26250000000000001</v>
      </c>
      <c r="H20" s="91">
        <v>0.15787499999999999</v>
      </c>
      <c r="I20" s="91">
        <v>1.0525000000000002</v>
      </c>
      <c r="J20" s="91"/>
      <c r="K20" s="91">
        <v>0.625</v>
      </c>
      <c r="L20" s="91">
        <v>2.6312499999999999E-2</v>
      </c>
    </row>
    <row r="21" spans="1:12" ht="15" customHeight="1" x14ac:dyDescent="0.45">
      <c r="A21" s="13">
        <f t="shared" si="0"/>
        <v>18</v>
      </c>
      <c r="B21" s="14" t="s">
        <v>35</v>
      </c>
      <c r="C21" s="23" t="s">
        <v>293</v>
      </c>
      <c r="D21" s="14" t="s">
        <v>293</v>
      </c>
      <c r="E21" s="31" t="s">
        <v>294</v>
      </c>
      <c r="F21" s="17" t="s">
        <v>249</v>
      </c>
      <c r="G21" s="91">
        <v>0.26312500000000005</v>
      </c>
      <c r="H21" s="91">
        <v>0.52625000000000011</v>
      </c>
      <c r="I21" s="91">
        <v>5.2625000000000002</v>
      </c>
      <c r="J21" s="91"/>
      <c r="K21" s="91">
        <v>5.2624999999999998E-2</v>
      </c>
      <c r="L21" s="91">
        <v>5.2624999999999998E-2</v>
      </c>
    </row>
    <row r="22" spans="1:12" ht="15" customHeight="1" x14ac:dyDescent="0.45">
      <c r="A22" s="13">
        <f t="shared" si="0"/>
        <v>19</v>
      </c>
      <c r="B22" s="14" t="s">
        <v>35</v>
      </c>
      <c r="C22" s="23" t="s">
        <v>295</v>
      </c>
      <c r="D22" s="14" t="s">
        <v>295</v>
      </c>
      <c r="E22" s="31" t="s">
        <v>296</v>
      </c>
      <c r="F22" s="17" t="s">
        <v>249</v>
      </c>
      <c r="G22" s="91">
        <v>0.26250000000000001</v>
      </c>
      <c r="H22" s="91">
        <v>0.15787499999999999</v>
      </c>
      <c r="I22" s="91">
        <v>1.0525000000000002</v>
      </c>
      <c r="J22" s="91"/>
      <c r="K22" s="91">
        <v>0.625</v>
      </c>
      <c r="L22" s="91">
        <v>2.6312499999999999E-2</v>
      </c>
    </row>
    <row r="23" spans="1:12" ht="15" customHeight="1" x14ac:dyDescent="0.45">
      <c r="A23" s="13">
        <f t="shared" si="0"/>
        <v>20</v>
      </c>
      <c r="B23" s="14" t="s">
        <v>35</v>
      </c>
      <c r="C23" s="23" t="s">
        <v>297</v>
      </c>
      <c r="D23" s="14" t="s">
        <v>297</v>
      </c>
      <c r="E23" s="31" t="s">
        <v>298</v>
      </c>
      <c r="F23" s="17" t="s">
        <v>249</v>
      </c>
      <c r="G23" s="91">
        <v>0.26312500000000005</v>
      </c>
      <c r="H23" s="91">
        <v>0.52625000000000011</v>
      </c>
      <c r="I23" s="91">
        <v>5.2625000000000002</v>
      </c>
      <c r="J23" s="91"/>
      <c r="K23" s="91">
        <v>0.625</v>
      </c>
      <c r="L23" s="91">
        <v>0.26312500000000005</v>
      </c>
    </row>
    <row r="24" spans="1:12" ht="15" customHeight="1" x14ac:dyDescent="0.45">
      <c r="A24" s="13">
        <f t="shared" si="0"/>
        <v>21</v>
      </c>
      <c r="B24" s="14" t="s">
        <v>39</v>
      </c>
      <c r="C24" s="23" t="s">
        <v>299</v>
      </c>
      <c r="D24" s="14" t="s">
        <v>300</v>
      </c>
      <c r="E24" s="20" t="s">
        <v>301</v>
      </c>
      <c r="F24" s="17" t="s">
        <v>302</v>
      </c>
      <c r="G24" s="91">
        <v>0.23599999999999999</v>
      </c>
      <c r="H24" s="91">
        <v>0.47126250000000003</v>
      </c>
      <c r="I24" s="91">
        <v>1.4137875</v>
      </c>
      <c r="J24" s="91"/>
      <c r="K24" s="91">
        <v>0.23599999999999999</v>
      </c>
      <c r="L24" s="91">
        <v>9.4400000000000012E-2</v>
      </c>
    </row>
    <row r="25" spans="1:12" ht="15" customHeight="1" x14ac:dyDescent="0.45">
      <c r="A25" s="13">
        <f t="shared" si="0"/>
        <v>22</v>
      </c>
      <c r="B25" s="14" t="s">
        <v>39</v>
      </c>
      <c r="C25" s="23" t="s">
        <v>303</v>
      </c>
      <c r="D25" s="32" t="s">
        <v>303</v>
      </c>
      <c r="E25" s="20" t="s">
        <v>304</v>
      </c>
      <c r="F25" s="17" t="s">
        <v>249</v>
      </c>
      <c r="G25" s="91">
        <v>0.78937499999999994</v>
      </c>
      <c r="H25" s="91">
        <v>1.0525000000000002</v>
      </c>
      <c r="I25" s="91">
        <v>3.1574999999999998</v>
      </c>
      <c r="J25" s="91"/>
      <c r="K25" s="91">
        <v>0.78937499999999994</v>
      </c>
      <c r="L25" s="91">
        <v>0.26312500000000005</v>
      </c>
    </row>
    <row r="26" spans="1:12" ht="15" customHeight="1" x14ac:dyDescent="0.45">
      <c r="A26" s="13">
        <f t="shared" si="0"/>
        <v>23</v>
      </c>
      <c r="B26" s="14" t="s">
        <v>204</v>
      </c>
      <c r="C26" s="23" t="s">
        <v>305</v>
      </c>
      <c r="D26" s="14"/>
      <c r="E26" s="20" t="s">
        <v>306</v>
      </c>
      <c r="F26" s="17" t="s">
        <v>245</v>
      </c>
      <c r="G26" s="91">
        <v>0.18525</v>
      </c>
      <c r="H26" s="91">
        <v>0.30875000000000002</v>
      </c>
      <c r="I26" s="91">
        <v>0.61750000000000005</v>
      </c>
      <c r="J26" s="91"/>
      <c r="K26" s="91">
        <v>0.625</v>
      </c>
      <c r="L26" s="91">
        <v>6.1750000000000006E-2</v>
      </c>
    </row>
    <row r="27" spans="1:12" ht="15" customHeight="1" x14ac:dyDescent="0.45">
      <c r="A27" s="13">
        <f t="shared" si="0"/>
        <v>24</v>
      </c>
      <c r="B27" s="14" t="s">
        <v>44</v>
      </c>
      <c r="C27" s="33" t="s">
        <v>307</v>
      </c>
      <c r="D27" s="34" t="s">
        <v>261</v>
      </c>
      <c r="E27" s="35" t="s">
        <v>308</v>
      </c>
      <c r="F27" s="17" t="s">
        <v>245</v>
      </c>
      <c r="G27" s="91">
        <v>1.8525</v>
      </c>
      <c r="H27" s="91">
        <v>1.8525</v>
      </c>
      <c r="I27" s="91">
        <v>3.0875000000000004</v>
      </c>
      <c r="J27" s="91"/>
      <c r="K27" s="91">
        <v>0.625</v>
      </c>
      <c r="L27" s="91">
        <v>0.30875000000000002</v>
      </c>
    </row>
    <row r="28" spans="1:12" ht="15" customHeight="1" x14ac:dyDescent="0.45">
      <c r="A28" s="13">
        <f t="shared" si="0"/>
        <v>25</v>
      </c>
      <c r="B28" s="32" t="s">
        <v>46</v>
      </c>
      <c r="C28" s="23" t="s">
        <v>309</v>
      </c>
      <c r="D28" s="14"/>
      <c r="E28" s="28" t="s">
        <v>310</v>
      </c>
      <c r="F28" s="17" t="s">
        <v>245</v>
      </c>
      <c r="G28" s="91">
        <v>1.2350000000000001</v>
      </c>
      <c r="H28" s="91">
        <v>1.2350000000000001</v>
      </c>
      <c r="I28" s="91">
        <v>3.3962500000000007</v>
      </c>
      <c r="J28" s="91"/>
      <c r="K28" s="91">
        <v>0.30875000000000002</v>
      </c>
      <c r="L28" s="91">
        <v>0.61750000000000005</v>
      </c>
    </row>
    <row r="29" spans="1:12" ht="15" customHeight="1" x14ac:dyDescent="0.45">
      <c r="A29" s="13">
        <f t="shared" si="0"/>
        <v>26</v>
      </c>
      <c r="B29" s="32" t="s">
        <v>46</v>
      </c>
      <c r="C29" s="23" t="s">
        <v>260</v>
      </c>
      <c r="D29" s="14" t="s">
        <v>261</v>
      </c>
      <c r="E29" s="28" t="s">
        <v>311</v>
      </c>
      <c r="F29" s="17" t="s">
        <v>245</v>
      </c>
      <c r="G29" s="91">
        <v>1.8525</v>
      </c>
      <c r="H29" s="91">
        <v>1.8525</v>
      </c>
      <c r="I29" s="91">
        <v>3.0875000000000004</v>
      </c>
      <c r="J29" s="91"/>
      <c r="K29" s="91">
        <v>0.625</v>
      </c>
      <c r="L29" s="91">
        <v>0.30875000000000002</v>
      </c>
    </row>
    <row r="30" spans="1:12" ht="15" customHeight="1" x14ac:dyDescent="0.45">
      <c r="A30" s="13">
        <f t="shared" si="0"/>
        <v>27</v>
      </c>
      <c r="B30" s="32" t="s">
        <v>46</v>
      </c>
      <c r="C30" s="23" t="s">
        <v>242</v>
      </c>
      <c r="D30" s="14" t="s">
        <v>243</v>
      </c>
      <c r="E30" s="16" t="s">
        <v>312</v>
      </c>
      <c r="F30" s="17" t="s">
        <v>245</v>
      </c>
      <c r="G30" s="91">
        <v>0.18525</v>
      </c>
      <c r="H30" s="91">
        <v>0.30875000000000002</v>
      </c>
      <c r="I30" s="91">
        <v>0.61750000000000005</v>
      </c>
      <c r="J30" s="91"/>
      <c r="K30" s="91">
        <v>0.625</v>
      </c>
      <c r="L30" s="91">
        <v>6.1750000000000006E-2</v>
      </c>
    </row>
    <row r="31" spans="1:12" ht="15" customHeight="1" x14ac:dyDescent="0.45">
      <c r="A31" s="13">
        <f t="shared" si="0"/>
        <v>28</v>
      </c>
      <c r="B31" s="32" t="s">
        <v>47</v>
      </c>
      <c r="C31" s="23" t="s">
        <v>257</v>
      </c>
      <c r="D31" s="14" t="s">
        <v>258</v>
      </c>
      <c r="E31" s="31" t="s">
        <v>313</v>
      </c>
      <c r="F31" s="17" t="s">
        <v>245</v>
      </c>
      <c r="G31" s="91">
        <v>0.92625000000000002</v>
      </c>
      <c r="H31" s="91">
        <v>0.92625000000000002</v>
      </c>
      <c r="I31" s="91">
        <v>6.1750000000000007</v>
      </c>
      <c r="J31" s="91"/>
      <c r="K31" s="91">
        <v>0.625</v>
      </c>
      <c r="L31" s="91">
        <v>0.12350000000000001</v>
      </c>
    </row>
    <row r="32" spans="1:12" ht="15" customHeight="1" x14ac:dyDescent="0.45">
      <c r="A32" s="13">
        <f t="shared" si="0"/>
        <v>29</v>
      </c>
      <c r="B32" s="32" t="s">
        <v>47</v>
      </c>
      <c r="C32" s="23" t="s">
        <v>269</v>
      </c>
      <c r="D32" s="14" t="s">
        <v>267</v>
      </c>
      <c r="E32" s="28" t="s">
        <v>314</v>
      </c>
      <c r="F32" s="17" t="s">
        <v>249</v>
      </c>
      <c r="G32" s="91">
        <v>1.0525000000000002</v>
      </c>
      <c r="H32" s="91">
        <v>1.0525000000000002</v>
      </c>
      <c r="I32" s="91">
        <v>3.1574999999999998</v>
      </c>
      <c r="J32" s="91"/>
      <c r="K32" s="91">
        <v>0.26312500000000005</v>
      </c>
      <c r="L32" s="91">
        <v>0.26312500000000005</v>
      </c>
    </row>
    <row r="33" spans="1:12" ht="15" customHeight="1" x14ac:dyDescent="0.45">
      <c r="A33" s="13">
        <f t="shared" si="0"/>
        <v>30</v>
      </c>
      <c r="B33" s="14" t="s">
        <v>54</v>
      </c>
      <c r="C33" s="23" t="s">
        <v>315</v>
      </c>
      <c r="D33" s="14" t="s">
        <v>274</v>
      </c>
      <c r="E33" s="28" t="s">
        <v>316</v>
      </c>
      <c r="F33" s="17" t="s">
        <v>245</v>
      </c>
      <c r="G33" s="91">
        <v>1.5437500000000002</v>
      </c>
      <c r="H33" s="91">
        <v>1.5437500000000002</v>
      </c>
      <c r="I33" s="91">
        <v>4.9400000000000004</v>
      </c>
      <c r="J33" s="91"/>
      <c r="K33" s="91">
        <v>0.625</v>
      </c>
      <c r="L33" s="91">
        <v>0.24700000000000003</v>
      </c>
    </row>
    <row r="34" spans="1:12" ht="15" customHeight="1" x14ac:dyDescent="0.45">
      <c r="A34" s="13">
        <f t="shared" si="0"/>
        <v>31</v>
      </c>
      <c r="B34" s="14" t="s">
        <v>61</v>
      </c>
      <c r="C34" s="23" t="s">
        <v>317</v>
      </c>
      <c r="D34" s="19"/>
      <c r="E34" s="28" t="s">
        <v>318</v>
      </c>
      <c r="F34" s="29" t="s">
        <v>249</v>
      </c>
      <c r="G34" s="91">
        <v>1.0525000000000002</v>
      </c>
      <c r="H34" s="91">
        <v>1.0525000000000002</v>
      </c>
      <c r="I34" s="91">
        <v>3.1574999999999998</v>
      </c>
      <c r="J34" s="91"/>
      <c r="K34" s="91">
        <v>0.26312500000000005</v>
      </c>
      <c r="L34" s="91">
        <v>0.26312500000000005</v>
      </c>
    </row>
    <row r="35" spans="1:12" ht="15" customHeight="1" x14ac:dyDescent="0.45">
      <c r="A35" s="13">
        <f t="shared" si="0"/>
        <v>32</v>
      </c>
      <c r="B35" s="14" t="s">
        <v>61</v>
      </c>
      <c r="C35" s="23" t="s">
        <v>319</v>
      </c>
      <c r="D35" s="19"/>
      <c r="E35" s="28" t="s">
        <v>320</v>
      </c>
      <c r="F35" s="29" t="s">
        <v>249</v>
      </c>
      <c r="G35" s="91">
        <v>1.0525000000000002</v>
      </c>
      <c r="H35" s="91">
        <v>1.0525000000000002</v>
      </c>
      <c r="I35" s="91">
        <v>3.1574999999999998</v>
      </c>
      <c r="J35" s="91"/>
      <c r="K35" s="91">
        <v>0.26312500000000005</v>
      </c>
      <c r="L35" s="91">
        <v>0.26312500000000005</v>
      </c>
    </row>
    <row r="36" spans="1:12" ht="15" customHeight="1" x14ac:dyDescent="0.45">
      <c r="A36" s="13">
        <f t="shared" si="0"/>
        <v>33</v>
      </c>
      <c r="B36" s="14" t="s">
        <v>62</v>
      </c>
      <c r="C36" s="23" t="s">
        <v>321</v>
      </c>
      <c r="D36" s="23" t="s">
        <v>321</v>
      </c>
      <c r="E36" s="28" t="s">
        <v>322</v>
      </c>
      <c r="F36" s="29" t="s">
        <v>249</v>
      </c>
      <c r="G36" s="91">
        <v>0.52625000000000011</v>
      </c>
      <c r="H36" s="91">
        <v>0.78937499999999994</v>
      </c>
      <c r="I36" s="91">
        <v>4.2100000000000009</v>
      </c>
      <c r="J36" s="91"/>
      <c r="K36" s="91">
        <v>0.625</v>
      </c>
      <c r="L36" s="91">
        <v>0.26312500000000005</v>
      </c>
    </row>
    <row r="37" spans="1:12" ht="15" customHeight="1" x14ac:dyDescent="0.45">
      <c r="A37" s="13">
        <f t="shared" si="0"/>
        <v>34</v>
      </c>
      <c r="B37" s="14" t="s">
        <v>62</v>
      </c>
      <c r="C37" s="23" t="s">
        <v>323</v>
      </c>
      <c r="D37" s="23" t="s">
        <v>324</v>
      </c>
      <c r="E37" s="28" t="s">
        <v>325</v>
      </c>
      <c r="F37" s="29" t="s">
        <v>245</v>
      </c>
      <c r="G37" s="91">
        <v>0.12350000000000001</v>
      </c>
      <c r="H37" s="91">
        <v>0.30875000000000002</v>
      </c>
      <c r="I37" s="91">
        <v>6.1750000000000007</v>
      </c>
      <c r="J37" s="91">
        <v>67.5</v>
      </c>
      <c r="K37" s="91">
        <v>0.625</v>
      </c>
      <c r="L37" s="91">
        <v>6.1750000000000006E-2</v>
      </c>
    </row>
    <row r="38" spans="1:12" ht="15" customHeight="1" x14ac:dyDescent="0.45">
      <c r="A38" s="13">
        <f t="shared" si="0"/>
        <v>35</v>
      </c>
      <c r="B38" s="14" t="s">
        <v>65</v>
      </c>
      <c r="C38" s="23" t="s">
        <v>326</v>
      </c>
      <c r="D38" s="23" t="s">
        <v>247</v>
      </c>
      <c r="E38" s="28" t="s">
        <v>327</v>
      </c>
      <c r="F38" s="17" t="s">
        <v>245</v>
      </c>
      <c r="G38" s="91">
        <v>1.2350000000000001</v>
      </c>
      <c r="H38" s="91">
        <v>1.2350000000000001</v>
      </c>
      <c r="I38" s="91">
        <v>3.3962500000000007</v>
      </c>
      <c r="J38" s="91"/>
      <c r="K38" s="91">
        <v>0.30875000000000002</v>
      </c>
      <c r="L38" s="91">
        <v>0.61750000000000005</v>
      </c>
    </row>
    <row r="39" spans="1:12" ht="15" customHeight="1" x14ac:dyDescent="0.45">
      <c r="A39" s="13">
        <f t="shared" si="0"/>
        <v>36</v>
      </c>
      <c r="B39" s="14" t="s">
        <v>65</v>
      </c>
      <c r="C39" s="23" t="s">
        <v>309</v>
      </c>
      <c r="D39" s="14" t="s">
        <v>247</v>
      </c>
      <c r="E39" s="20" t="s">
        <v>328</v>
      </c>
      <c r="F39" s="17" t="s">
        <v>245</v>
      </c>
      <c r="G39" s="91">
        <v>1.2350000000000001</v>
      </c>
      <c r="H39" s="91">
        <v>1.2350000000000001</v>
      </c>
      <c r="I39" s="91">
        <v>3.3962500000000007</v>
      </c>
      <c r="J39" s="91"/>
      <c r="K39" s="91">
        <v>0.30875000000000002</v>
      </c>
      <c r="L39" s="91">
        <v>0.61750000000000005</v>
      </c>
    </row>
    <row r="40" spans="1:12" ht="15" customHeight="1" x14ac:dyDescent="0.45">
      <c r="A40" s="13">
        <f t="shared" si="0"/>
        <v>37</v>
      </c>
      <c r="B40" s="14" t="s">
        <v>65</v>
      </c>
      <c r="C40" s="21" t="s">
        <v>329</v>
      </c>
      <c r="D40" s="14" t="s">
        <v>261</v>
      </c>
      <c r="E40" s="36" t="s">
        <v>330</v>
      </c>
      <c r="F40" s="17" t="s">
        <v>245</v>
      </c>
      <c r="G40" s="91">
        <v>1.8525</v>
      </c>
      <c r="H40" s="91">
        <v>1.8525</v>
      </c>
      <c r="I40" s="91">
        <v>3.0875000000000004</v>
      </c>
      <c r="J40" s="91">
        <v>67.5</v>
      </c>
      <c r="K40" s="91">
        <v>0.625</v>
      </c>
      <c r="L40" s="91">
        <v>0.30875000000000002</v>
      </c>
    </row>
    <row r="41" spans="1:12" ht="15" customHeight="1" x14ac:dyDescent="0.45">
      <c r="A41" s="13">
        <f t="shared" si="0"/>
        <v>38</v>
      </c>
      <c r="B41" s="14" t="s">
        <v>65</v>
      </c>
      <c r="C41" s="23" t="s">
        <v>242</v>
      </c>
      <c r="D41" s="14" t="s">
        <v>243</v>
      </c>
      <c r="E41" s="16" t="s">
        <v>331</v>
      </c>
      <c r="F41" s="17" t="s">
        <v>245</v>
      </c>
      <c r="G41" s="91">
        <v>0.18525</v>
      </c>
      <c r="H41" s="91">
        <v>0.30875000000000002</v>
      </c>
      <c r="I41" s="91">
        <v>0.61750000000000005</v>
      </c>
      <c r="J41" s="91"/>
      <c r="K41" s="91">
        <v>0.625</v>
      </c>
      <c r="L41" s="91">
        <v>6.1750000000000006E-2</v>
      </c>
    </row>
    <row r="42" spans="1:12" ht="15" customHeight="1" x14ac:dyDescent="0.45">
      <c r="A42" s="13">
        <f t="shared" si="0"/>
        <v>39</v>
      </c>
      <c r="B42" s="14" t="s">
        <v>69</v>
      </c>
      <c r="C42" s="23" t="s">
        <v>242</v>
      </c>
      <c r="D42" s="14" t="s">
        <v>243</v>
      </c>
      <c r="E42" s="16" t="s">
        <v>332</v>
      </c>
      <c r="F42" s="17" t="s">
        <v>245</v>
      </c>
      <c r="G42" s="91">
        <v>0.18525</v>
      </c>
      <c r="H42" s="91">
        <v>0.30875000000000002</v>
      </c>
      <c r="I42" s="91">
        <v>0.61750000000000005</v>
      </c>
      <c r="J42" s="91"/>
      <c r="K42" s="91">
        <v>0.625</v>
      </c>
      <c r="L42" s="91">
        <v>6.1750000000000006E-2</v>
      </c>
    </row>
    <row r="43" spans="1:12" ht="15" customHeight="1" x14ac:dyDescent="0.45">
      <c r="A43" s="13">
        <f t="shared" si="0"/>
        <v>40</v>
      </c>
      <c r="B43" s="14" t="s">
        <v>69</v>
      </c>
      <c r="C43" s="23" t="s">
        <v>333</v>
      </c>
      <c r="D43" s="14" t="s">
        <v>334</v>
      </c>
      <c r="E43" s="20" t="s">
        <v>335</v>
      </c>
      <c r="F43" s="17" t="s">
        <v>245</v>
      </c>
      <c r="G43" s="91">
        <v>0.61750000000000005</v>
      </c>
      <c r="H43" s="91">
        <v>0.61750000000000005</v>
      </c>
      <c r="I43" s="91">
        <v>1.8525</v>
      </c>
      <c r="J43" s="91"/>
      <c r="K43" s="91">
        <v>0.625</v>
      </c>
      <c r="L43" s="91">
        <v>0.30875000000000002</v>
      </c>
    </row>
    <row r="44" spans="1:12" ht="15" customHeight="1" x14ac:dyDescent="0.45">
      <c r="A44" s="13">
        <f t="shared" si="0"/>
        <v>41</v>
      </c>
      <c r="B44" s="14" t="s">
        <v>74</v>
      </c>
      <c r="C44" s="23" t="s">
        <v>336</v>
      </c>
      <c r="D44" s="14" t="s">
        <v>337</v>
      </c>
      <c r="E44" s="20" t="s">
        <v>338</v>
      </c>
      <c r="F44" s="17" t="s">
        <v>249</v>
      </c>
      <c r="G44" s="91">
        <v>0.625</v>
      </c>
      <c r="H44" s="91">
        <v>0.625</v>
      </c>
      <c r="I44" s="91">
        <v>2.75</v>
      </c>
      <c r="J44" s="91"/>
      <c r="K44" s="91">
        <v>0.625</v>
      </c>
      <c r="L44" s="91">
        <v>0.27500000000000002</v>
      </c>
    </row>
    <row r="45" spans="1:12" ht="15" customHeight="1" x14ac:dyDescent="0.45">
      <c r="A45" s="13">
        <f t="shared" si="0"/>
        <v>42</v>
      </c>
      <c r="B45" s="14" t="s">
        <v>74</v>
      </c>
      <c r="C45" s="23" t="s">
        <v>257</v>
      </c>
      <c r="D45" s="14" t="s">
        <v>258</v>
      </c>
      <c r="E45" s="20" t="s">
        <v>339</v>
      </c>
      <c r="F45" s="29" t="s">
        <v>249</v>
      </c>
      <c r="G45" s="91">
        <v>0.42099999999999999</v>
      </c>
      <c r="H45" s="91">
        <v>0.42099999999999999</v>
      </c>
      <c r="I45" s="91">
        <v>2.6312500000000001</v>
      </c>
      <c r="J45" s="91"/>
      <c r="K45" s="91">
        <v>0.27500000000000002</v>
      </c>
      <c r="L45" s="91">
        <v>0.15787499999999999</v>
      </c>
    </row>
    <row r="46" spans="1:12" ht="15" customHeight="1" x14ac:dyDescent="0.45">
      <c r="A46" s="13">
        <f t="shared" si="0"/>
        <v>43</v>
      </c>
      <c r="B46" s="14" t="s">
        <v>74</v>
      </c>
      <c r="C46" s="23" t="s">
        <v>340</v>
      </c>
      <c r="D46" s="14" t="s">
        <v>341</v>
      </c>
      <c r="E46" s="20" t="s">
        <v>342</v>
      </c>
      <c r="F46" s="29" t="s">
        <v>249</v>
      </c>
      <c r="G46" s="91">
        <v>1.0525000000000002</v>
      </c>
      <c r="H46" s="91">
        <v>1.0525000000000002</v>
      </c>
      <c r="I46" s="91">
        <v>10.525</v>
      </c>
      <c r="J46" s="91"/>
      <c r="K46" s="91">
        <v>0.26312500000000005</v>
      </c>
      <c r="L46" s="91">
        <v>0.26312500000000005</v>
      </c>
    </row>
    <row r="47" spans="1:12" ht="15" customHeight="1" x14ac:dyDescent="0.45">
      <c r="A47" s="13">
        <f t="shared" si="0"/>
        <v>44</v>
      </c>
      <c r="B47" s="14" t="s">
        <v>75</v>
      </c>
      <c r="C47" s="23" t="s">
        <v>343</v>
      </c>
      <c r="D47" s="14" t="s">
        <v>261</v>
      </c>
      <c r="E47" s="20" t="s">
        <v>344</v>
      </c>
      <c r="F47" s="17" t="s">
        <v>245</v>
      </c>
      <c r="G47" s="91">
        <v>1.8525</v>
      </c>
      <c r="H47" s="91">
        <v>1.8525</v>
      </c>
      <c r="I47" s="91">
        <v>3.0875000000000004</v>
      </c>
      <c r="J47" s="91"/>
      <c r="K47" s="91">
        <v>0.625</v>
      </c>
      <c r="L47" s="91">
        <v>0.30875000000000002</v>
      </c>
    </row>
    <row r="48" spans="1:12" ht="15" customHeight="1" x14ac:dyDescent="0.45">
      <c r="A48" s="13">
        <f t="shared" si="0"/>
        <v>45</v>
      </c>
      <c r="B48" s="14" t="s">
        <v>75</v>
      </c>
      <c r="C48" s="23" t="s">
        <v>242</v>
      </c>
      <c r="D48" s="14" t="s">
        <v>243</v>
      </c>
      <c r="E48" s="16" t="s">
        <v>345</v>
      </c>
      <c r="F48" s="17" t="s">
        <v>245</v>
      </c>
      <c r="G48" s="91">
        <v>0.18525</v>
      </c>
      <c r="H48" s="91">
        <v>0.30875000000000002</v>
      </c>
      <c r="I48" s="91">
        <v>0.61750000000000005</v>
      </c>
      <c r="J48" s="91"/>
      <c r="K48" s="91">
        <v>0.625</v>
      </c>
      <c r="L48" s="91">
        <v>6.1750000000000006E-2</v>
      </c>
    </row>
    <row r="49" spans="1:12" ht="15" customHeight="1" x14ac:dyDescent="0.45">
      <c r="A49" s="13">
        <f t="shared" si="0"/>
        <v>46</v>
      </c>
      <c r="B49" s="14" t="s">
        <v>76</v>
      </c>
      <c r="C49" s="23" t="s">
        <v>346</v>
      </c>
      <c r="D49" s="14" t="s">
        <v>346</v>
      </c>
      <c r="E49" s="20" t="s">
        <v>347</v>
      </c>
      <c r="F49" s="29" t="s">
        <v>249</v>
      </c>
      <c r="G49" s="91">
        <v>0.52625000000000011</v>
      </c>
      <c r="H49" s="91">
        <v>0.52625000000000011</v>
      </c>
      <c r="I49" s="91">
        <v>1.5787499999999999</v>
      </c>
      <c r="J49" s="91"/>
      <c r="K49" s="91">
        <v>0.625</v>
      </c>
      <c r="L49" s="91">
        <v>5.2624999999999998E-2</v>
      </c>
    </row>
    <row r="50" spans="1:12" ht="15" customHeight="1" x14ac:dyDescent="0.45">
      <c r="A50" s="13">
        <f t="shared" si="0"/>
        <v>47</v>
      </c>
      <c r="B50" s="24" t="s">
        <v>77</v>
      </c>
      <c r="C50" s="23" t="s">
        <v>348</v>
      </c>
      <c r="D50" s="24" t="s">
        <v>348</v>
      </c>
      <c r="E50" s="25" t="s">
        <v>349</v>
      </c>
      <c r="F50" s="29" t="s">
        <v>249</v>
      </c>
      <c r="G50" s="91">
        <v>0.15787499999999999</v>
      </c>
      <c r="H50" s="91">
        <v>0.31574999999999998</v>
      </c>
      <c r="I50" s="91">
        <v>3.6837499999999994</v>
      </c>
      <c r="J50" s="91"/>
      <c r="K50" s="91">
        <v>0.625</v>
      </c>
      <c r="L50" s="91">
        <v>0.31574999999999998</v>
      </c>
    </row>
    <row r="51" spans="1:12" ht="15" customHeight="1" x14ac:dyDescent="0.45">
      <c r="A51" s="13">
        <f t="shared" si="0"/>
        <v>48</v>
      </c>
      <c r="B51" s="24" t="s">
        <v>77</v>
      </c>
      <c r="C51" s="23" t="s">
        <v>350</v>
      </c>
      <c r="D51" s="14" t="s">
        <v>351</v>
      </c>
      <c r="E51" s="20" t="s">
        <v>352</v>
      </c>
      <c r="F51" s="29" t="s">
        <v>249</v>
      </c>
      <c r="G51" s="91">
        <v>0.15787499999999999</v>
      </c>
      <c r="H51" s="91">
        <v>0.15787499999999999</v>
      </c>
      <c r="I51" s="91">
        <v>2.6312500000000001</v>
      </c>
      <c r="J51" s="91"/>
      <c r="K51" s="91">
        <v>0.625</v>
      </c>
      <c r="L51" s="91">
        <v>0.26312500000000005</v>
      </c>
    </row>
    <row r="52" spans="1:12" ht="15" customHeight="1" x14ac:dyDescent="0.45">
      <c r="A52" s="13">
        <f t="shared" si="0"/>
        <v>49</v>
      </c>
      <c r="B52" s="24" t="s">
        <v>77</v>
      </c>
      <c r="C52" s="23" t="s">
        <v>353</v>
      </c>
      <c r="D52" s="14" t="s">
        <v>264</v>
      </c>
      <c r="E52" s="20" t="s">
        <v>354</v>
      </c>
      <c r="F52" s="29" t="s">
        <v>355</v>
      </c>
      <c r="G52" s="91">
        <v>2.7011250000000001E-2</v>
      </c>
      <c r="H52" s="91">
        <v>5.4022500000000001E-2</v>
      </c>
      <c r="I52" s="91">
        <v>0.44957500000000006</v>
      </c>
      <c r="J52" s="91"/>
      <c r="K52" s="91">
        <v>0.625</v>
      </c>
      <c r="L52" s="91">
        <v>1.53125E-2</v>
      </c>
    </row>
    <row r="53" spans="1:12" ht="15" customHeight="1" x14ac:dyDescent="0.45">
      <c r="A53" s="13">
        <f t="shared" si="0"/>
        <v>50</v>
      </c>
      <c r="B53" s="24" t="s">
        <v>77</v>
      </c>
      <c r="C53" s="23" t="s">
        <v>356</v>
      </c>
      <c r="D53" s="14" t="s">
        <v>356</v>
      </c>
      <c r="E53" s="20" t="s">
        <v>357</v>
      </c>
      <c r="F53" s="29" t="s">
        <v>249</v>
      </c>
      <c r="G53" s="91">
        <v>0.21049999999999999</v>
      </c>
      <c r="H53" s="91">
        <v>0.31574999999999998</v>
      </c>
      <c r="I53" s="91">
        <v>5.2625000000000002</v>
      </c>
      <c r="J53" s="91"/>
      <c r="K53" s="91">
        <v>0.625</v>
      </c>
      <c r="L53" s="91">
        <v>0.31574999999999998</v>
      </c>
    </row>
    <row r="54" spans="1:12" ht="15" customHeight="1" x14ac:dyDescent="0.45">
      <c r="A54" s="13">
        <f t="shared" si="0"/>
        <v>51</v>
      </c>
      <c r="B54" s="14" t="s">
        <v>78</v>
      </c>
      <c r="C54" s="19" t="s">
        <v>358</v>
      </c>
      <c r="D54" s="14" t="s">
        <v>359</v>
      </c>
      <c r="E54" s="20" t="s">
        <v>360</v>
      </c>
      <c r="F54" s="29" t="s">
        <v>249</v>
      </c>
      <c r="G54" s="91">
        <v>0.26312500000000005</v>
      </c>
      <c r="H54" s="91">
        <v>0.26312500000000005</v>
      </c>
      <c r="I54" s="91">
        <v>5.2625000000000002</v>
      </c>
      <c r="J54" s="91"/>
      <c r="K54" s="91">
        <v>0.15787499999999999</v>
      </c>
      <c r="L54" s="91">
        <v>0.15787499999999999</v>
      </c>
    </row>
    <row r="55" spans="1:12" ht="15" customHeight="1" x14ac:dyDescent="0.45">
      <c r="A55" s="13">
        <f t="shared" si="0"/>
        <v>52</v>
      </c>
      <c r="B55" s="14" t="s">
        <v>78</v>
      </c>
      <c r="C55" s="19" t="s">
        <v>361</v>
      </c>
      <c r="D55" s="14" t="s">
        <v>361</v>
      </c>
      <c r="E55" s="20" t="s">
        <v>362</v>
      </c>
      <c r="F55" s="29" t="s">
        <v>249</v>
      </c>
      <c r="G55" s="91">
        <v>0.52625000000000011</v>
      </c>
      <c r="H55" s="91">
        <v>0.52625000000000011</v>
      </c>
      <c r="I55" s="91">
        <v>1.5787499999999999</v>
      </c>
      <c r="J55" s="91"/>
      <c r="K55" s="91">
        <v>0.625</v>
      </c>
      <c r="L55" s="91">
        <v>0.10525</v>
      </c>
    </row>
    <row r="56" spans="1:12" ht="15" customHeight="1" x14ac:dyDescent="0.45">
      <c r="A56" s="13">
        <f t="shared" si="0"/>
        <v>53</v>
      </c>
      <c r="B56" s="14" t="s">
        <v>111</v>
      </c>
      <c r="C56" s="37" t="s">
        <v>242</v>
      </c>
      <c r="D56" s="14" t="s">
        <v>243</v>
      </c>
      <c r="E56" s="16" t="s">
        <v>363</v>
      </c>
      <c r="F56" s="17" t="s">
        <v>245</v>
      </c>
      <c r="G56" s="91">
        <v>0.18525</v>
      </c>
      <c r="H56" s="91">
        <v>0.30875000000000002</v>
      </c>
      <c r="I56" s="91">
        <v>0.61750000000000005</v>
      </c>
      <c r="J56" s="91"/>
      <c r="K56" s="91">
        <v>0.625</v>
      </c>
      <c r="L56" s="91">
        <v>6.1750000000000006E-2</v>
      </c>
    </row>
    <row r="57" spans="1:12" ht="15" customHeight="1" x14ac:dyDescent="0.45">
      <c r="A57" s="13">
        <f t="shared" si="0"/>
        <v>54</v>
      </c>
      <c r="B57" s="14" t="s">
        <v>84</v>
      </c>
      <c r="C57" s="19" t="s">
        <v>364</v>
      </c>
      <c r="D57" s="14" t="s">
        <v>365</v>
      </c>
      <c r="E57" s="20" t="s">
        <v>366</v>
      </c>
      <c r="F57" s="29" t="s">
        <v>245</v>
      </c>
      <c r="G57" s="91">
        <v>3.0875000000000004</v>
      </c>
      <c r="H57" s="91">
        <v>0.61750000000000005</v>
      </c>
      <c r="I57" s="91">
        <v>2.4700000000000002</v>
      </c>
      <c r="J57" s="91">
        <v>67.5</v>
      </c>
      <c r="K57" s="91">
        <v>0.625</v>
      </c>
      <c r="L57" s="91">
        <v>0.18525</v>
      </c>
    </row>
    <row r="58" spans="1:12" ht="15" customHeight="1" x14ac:dyDescent="0.45">
      <c r="A58" s="13">
        <f t="shared" si="0"/>
        <v>55</v>
      </c>
      <c r="B58" s="14" t="s">
        <v>84</v>
      </c>
      <c r="C58" s="19" t="s">
        <v>257</v>
      </c>
      <c r="D58" s="14" t="s">
        <v>258</v>
      </c>
      <c r="E58" s="20" t="s">
        <v>367</v>
      </c>
      <c r="F58" s="17" t="s">
        <v>245</v>
      </c>
      <c r="G58" s="91">
        <v>0.92625000000000002</v>
      </c>
      <c r="H58" s="91">
        <v>0.92625000000000002</v>
      </c>
      <c r="I58" s="91">
        <v>6.1750000000000007</v>
      </c>
      <c r="J58" s="91"/>
      <c r="K58" s="91">
        <v>0.625</v>
      </c>
      <c r="L58" s="91">
        <v>0.12350000000000001</v>
      </c>
    </row>
    <row r="59" spans="1:12" ht="15" customHeight="1" x14ac:dyDescent="0.45">
      <c r="A59" s="13">
        <f t="shared" si="0"/>
        <v>56</v>
      </c>
      <c r="B59" s="14" t="s">
        <v>84</v>
      </c>
      <c r="C59" s="19" t="s">
        <v>242</v>
      </c>
      <c r="D59" s="14" t="s">
        <v>243</v>
      </c>
      <c r="E59" s="16" t="s">
        <v>368</v>
      </c>
      <c r="F59" s="17" t="s">
        <v>245</v>
      </c>
      <c r="G59" s="91">
        <v>0.18525</v>
      </c>
      <c r="H59" s="91">
        <v>0.30875000000000002</v>
      </c>
      <c r="I59" s="91">
        <v>0.61750000000000005</v>
      </c>
      <c r="J59" s="91"/>
      <c r="K59" s="91">
        <v>0.625</v>
      </c>
      <c r="L59" s="91">
        <v>6.1750000000000006E-2</v>
      </c>
    </row>
    <row r="60" spans="1:12" ht="15" customHeight="1" x14ac:dyDescent="0.45">
      <c r="A60" s="13">
        <f t="shared" si="0"/>
        <v>57</v>
      </c>
      <c r="B60" s="14" t="s">
        <v>86</v>
      </c>
      <c r="C60" s="19" t="s">
        <v>242</v>
      </c>
      <c r="D60" s="14" t="s">
        <v>243</v>
      </c>
      <c r="E60" s="16" t="s">
        <v>369</v>
      </c>
      <c r="F60" s="17" t="s">
        <v>245</v>
      </c>
      <c r="G60" s="91">
        <v>0.18525</v>
      </c>
      <c r="H60" s="91">
        <v>0.30875000000000002</v>
      </c>
      <c r="I60" s="91">
        <v>0.61750000000000005</v>
      </c>
      <c r="J60" s="91"/>
      <c r="K60" s="91">
        <v>0.625</v>
      </c>
      <c r="L60" s="91">
        <v>6.1750000000000006E-2</v>
      </c>
    </row>
    <row r="61" spans="1:12" ht="15" customHeight="1" x14ac:dyDescent="0.45">
      <c r="A61" s="13">
        <f t="shared" si="0"/>
        <v>58</v>
      </c>
      <c r="B61" s="14" t="s">
        <v>86</v>
      </c>
      <c r="C61" s="1" t="s">
        <v>370</v>
      </c>
      <c r="D61" s="38" t="s">
        <v>258</v>
      </c>
      <c r="E61" s="13" t="s">
        <v>371</v>
      </c>
      <c r="F61" s="17" t="s">
        <v>245</v>
      </c>
      <c r="G61" s="91">
        <v>0.92625000000000002</v>
      </c>
      <c r="H61" s="91">
        <v>0.92625000000000002</v>
      </c>
      <c r="I61" s="91">
        <v>6.1750000000000007</v>
      </c>
      <c r="J61" s="91"/>
      <c r="K61" s="91">
        <v>0.625</v>
      </c>
      <c r="L61" s="91">
        <v>0.12350000000000001</v>
      </c>
    </row>
    <row r="62" spans="1:12" ht="15" customHeight="1" x14ac:dyDescent="0.45">
      <c r="A62" s="13">
        <f t="shared" si="0"/>
        <v>59</v>
      </c>
      <c r="B62" s="24" t="s">
        <v>89</v>
      </c>
      <c r="C62" s="37" t="s">
        <v>372</v>
      </c>
      <c r="D62" s="24" t="s">
        <v>373</v>
      </c>
      <c r="E62" s="25" t="s">
        <v>374</v>
      </c>
      <c r="F62" s="29" t="s">
        <v>375</v>
      </c>
      <c r="G62" s="91">
        <v>0.33712500000000006</v>
      </c>
      <c r="H62" s="91">
        <v>0.33712500000000006</v>
      </c>
      <c r="I62" s="91">
        <v>0.33712500000000006</v>
      </c>
      <c r="J62" s="91"/>
      <c r="K62" s="91">
        <v>0.625</v>
      </c>
      <c r="L62" s="91">
        <v>0.15950000000000003</v>
      </c>
    </row>
    <row r="63" spans="1:12" ht="15" customHeight="1" x14ac:dyDescent="0.45">
      <c r="A63" s="13">
        <f t="shared" si="0"/>
        <v>60</v>
      </c>
      <c r="B63" s="24" t="s">
        <v>89</v>
      </c>
      <c r="C63" s="37" t="s">
        <v>376</v>
      </c>
      <c r="D63" s="24" t="s">
        <v>376</v>
      </c>
      <c r="E63" s="25" t="s">
        <v>377</v>
      </c>
      <c r="F63" s="29" t="s">
        <v>375</v>
      </c>
      <c r="G63" s="91">
        <v>1.6312500000000001</v>
      </c>
      <c r="H63" s="91">
        <v>1.6312500000000001</v>
      </c>
      <c r="I63" s="91">
        <v>2.3562500000000002</v>
      </c>
      <c r="J63" s="91">
        <v>67.5</v>
      </c>
      <c r="K63" s="91">
        <v>0.625</v>
      </c>
      <c r="L63" s="91">
        <v>0.40237500000000004</v>
      </c>
    </row>
    <row r="64" spans="1:12" ht="15" customHeight="1" x14ac:dyDescent="0.45">
      <c r="A64" s="13">
        <f t="shared" si="0"/>
        <v>61</v>
      </c>
      <c r="B64" s="39" t="s">
        <v>91</v>
      </c>
      <c r="C64" s="37" t="s">
        <v>378</v>
      </c>
      <c r="D64" s="40" t="s">
        <v>379</v>
      </c>
      <c r="E64" s="41" t="s">
        <v>380</v>
      </c>
      <c r="F64" s="29" t="s">
        <v>249</v>
      </c>
      <c r="G64" s="91">
        <v>0.78937499999999994</v>
      </c>
      <c r="H64" s="91">
        <v>0.78937499999999994</v>
      </c>
      <c r="I64" s="91">
        <v>2.6312500000000001</v>
      </c>
      <c r="J64" s="92"/>
      <c r="K64" s="91">
        <v>0.625</v>
      </c>
      <c r="L64" s="91">
        <v>0.52625000000000011</v>
      </c>
    </row>
    <row r="65" spans="1:12" ht="15" customHeight="1" x14ac:dyDescent="0.45">
      <c r="A65" s="13">
        <f t="shared" si="0"/>
        <v>62</v>
      </c>
      <c r="B65" s="14" t="s">
        <v>96</v>
      </c>
      <c r="C65" s="37" t="s">
        <v>381</v>
      </c>
      <c r="D65" s="14" t="s">
        <v>264</v>
      </c>
      <c r="E65" s="20" t="s">
        <v>382</v>
      </c>
      <c r="F65" s="17" t="s">
        <v>249</v>
      </c>
      <c r="G65" s="91">
        <v>0.52625000000000011</v>
      </c>
      <c r="H65" s="91">
        <v>0.52625000000000011</v>
      </c>
      <c r="I65" s="91">
        <v>2.6312500000000001</v>
      </c>
      <c r="J65" s="91">
        <v>67.5</v>
      </c>
      <c r="K65" s="91">
        <v>0.625</v>
      </c>
      <c r="L65" s="91">
        <v>0.26312500000000005</v>
      </c>
    </row>
    <row r="66" spans="1:12" ht="15" customHeight="1" x14ac:dyDescent="0.45">
      <c r="A66" s="13">
        <f t="shared" si="0"/>
        <v>63</v>
      </c>
      <c r="B66" s="14" t="s">
        <v>96</v>
      </c>
      <c r="C66" s="37" t="s">
        <v>383</v>
      </c>
      <c r="D66" s="14" t="s">
        <v>288</v>
      </c>
      <c r="E66" s="20" t="s">
        <v>384</v>
      </c>
      <c r="F66" s="17" t="s">
        <v>249</v>
      </c>
      <c r="G66" s="91">
        <v>0.78937499999999994</v>
      </c>
      <c r="H66" s="91">
        <v>0.78937499999999994</v>
      </c>
      <c r="I66" s="91">
        <v>2.6312500000000001</v>
      </c>
      <c r="J66" s="92"/>
      <c r="K66" s="91">
        <v>0.26312500000000005</v>
      </c>
      <c r="L66" s="91">
        <v>0.15787499999999999</v>
      </c>
    </row>
    <row r="67" spans="1:12" ht="15" customHeight="1" x14ac:dyDescent="0.45">
      <c r="A67" s="13">
        <f t="shared" si="0"/>
        <v>64</v>
      </c>
      <c r="B67" s="32" t="s">
        <v>97</v>
      </c>
      <c r="C67" s="37" t="s">
        <v>385</v>
      </c>
      <c r="D67" s="14" t="s">
        <v>386</v>
      </c>
      <c r="E67" s="31" t="s">
        <v>387</v>
      </c>
      <c r="F67" s="17" t="s">
        <v>245</v>
      </c>
      <c r="G67" s="91">
        <v>0.50017500000000004</v>
      </c>
      <c r="H67" s="91">
        <v>3.2480500000000005</v>
      </c>
      <c r="I67" s="91">
        <v>2.5008750000000002</v>
      </c>
      <c r="J67" s="91">
        <v>67.5</v>
      </c>
      <c r="K67" s="91">
        <v>0.625</v>
      </c>
      <c r="L67" s="91">
        <v>2.5008750000000002</v>
      </c>
    </row>
    <row r="68" spans="1:12" ht="15" customHeight="1" x14ac:dyDescent="0.45">
      <c r="A68" s="13">
        <f t="shared" si="0"/>
        <v>65</v>
      </c>
      <c r="B68" s="24" t="s">
        <v>218</v>
      </c>
      <c r="C68" s="37" t="s">
        <v>388</v>
      </c>
      <c r="D68" s="24" t="s">
        <v>264</v>
      </c>
      <c r="E68" s="25" t="s">
        <v>389</v>
      </c>
      <c r="F68" s="17" t="s">
        <v>245</v>
      </c>
      <c r="G68" s="91">
        <v>0.18525</v>
      </c>
      <c r="H68" s="91">
        <v>0.30875000000000002</v>
      </c>
      <c r="I68" s="91">
        <v>0.61750000000000005</v>
      </c>
      <c r="J68" s="91"/>
      <c r="K68" s="91">
        <v>0.625</v>
      </c>
      <c r="L68" s="91">
        <v>6.1750000000000006E-2</v>
      </c>
    </row>
    <row r="69" spans="1:12" ht="15" customHeight="1" x14ac:dyDescent="0.45">
      <c r="A69" s="13">
        <f t="shared" si="0"/>
        <v>66</v>
      </c>
      <c r="B69" s="14" t="s">
        <v>102</v>
      </c>
      <c r="C69" s="37" t="s">
        <v>386</v>
      </c>
      <c r="D69" s="14" t="s">
        <v>386</v>
      </c>
      <c r="E69" s="31" t="s">
        <v>390</v>
      </c>
      <c r="F69" s="17" t="s">
        <v>245</v>
      </c>
      <c r="G69" s="91">
        <v>0.50017500000000004</v>
      </c>
      <c r="H69" s="91">
        <v>3.2480500000000005</v>
      </c>
      <c r="I69" s="91">
        <v>2.5008750000000002</v>
      </c>
      <c r="J69" s="91">
        <v>67.5</v>
      </c>
      <c r="K69" s="91">
        <v>0.625</v>
      </c>
      <c r="L69" s="91">
        <v>2.5008750000000002</v>
      </c>
    </row>
    <row r="70" spans="1:12" ht="15" customHeight="1" x14ac:dyDescent="0.45">
      <c r="A70" s="13">
        <f t="shared" ref="A70:A133" si="1">+A69+1</f>
        <v>67</v>
      </c>
      <c r="B70" s="14" t="s">
        <v>103</v>
      </c>
      <c r="C70" s="37" t="s">
        <v>276</v>
      </c>
      <c r="D70" s="14" t="s">
        <v>274</v>
      </c>
      <c r="E70" s="31" t="s">
        <v>391</v>
      </c>
      <c r="F70" s="17" t="s">
        <v>245</v>
      </c>
      <c r="G70" s="91">
        <v>1.2350000000000001</v>
      </c>
      <c r="H70" s="91">
        <v>1.2350000000000001</v>
      </c>
      <c r="I70" s="91">
        <v>3.7050000000000001</v>
      </c>
      <c r="J70" s="91"/>
      <c r="K70" s="91">
        <v>0.625</v>
      </c>
      <c r="L70" s="91">
        <v>0.30875000000000002</v>
      </c>
    </row>
    <row r="71" spans="1:12" ht="15" customHeight="1" x14ac:dyDescent="0.45">
      <c r="A71" s="13">
        <f t="shared" si="1"/>
        <v>68</v>
      </c>
      <c r="B71" s="14" t="s">
        <v>103</v>
      </c>
      <c r="C71" s="37" t="s">
        <v>392</v>
      </c>
      <c r="D71" s="23" t="s">
        <v>393</v>
      </c>
      <c r="E71" s="20" t="s">
        <v>394</v>
      </c>
      <c r="F71" s="17" t="s">
        <v>245</v>
      </c>
      <c r="G71" s="91">
        <v>1.8525</v>
      </c>
      <c r="H71" s="91">
        <v>1.8525</v>
      </c>
      <c r="I71" s="91">
        <v>3.0875000000000004</v>
      </c>
      <c r="J71" s="91">
        <v>67.5</v>
      </c>
      <c r="K71" s="91">
        <v>0.625</v>
      </c>
      <c r="L71" s="91">
        <v>0.30875000000000002</v>
      </c>
    </row>
    <row r="72" spans="1:12" ht="15" customHeight="1" x14ac:dyDescent="0.45">
      <c r="A72" s="13">
        <f t="shared" si="1"/>
        <v>69</v>
      </c>
      <c r="B72" s="14" t="s">
        <v>104</v>
      </c>
      <c r="C72" s="37" t="s">
        <v>395</v>
      </c>
      <c r="D72" s="14" t="s">
        <v>395</v>
      </c>
      <c r="E72" s="20" t="s">
        <v>396</v>
      </c>
      <c r="F72" s="17" t="s">
        <v>249</v>
      </c>
      <c r="G72" s="91">
        <v>1.315625</v>
      </c>
      <c r="H72" s="91">
        <v>2.1050000000000004</v>
      </c>
      <c r="I72" s="91">
        <v>10.156624999999998</v>
      </c>
      <c r="J72" s="91">
        <v>67.5</v>
      </c>
      <c r="K72" s="91">
        <v>1.315625</v>
      </c>
      <c r="L72" s="91">
        <v>0.52625000000000011</v>
      </c>
    </row>
    <row r="73" spans="1:12" ht="15" customHeight="1" x14ac:dyDescent="0.45">
      <c r="A73" s="13">
        <f t="shared" si="1"/>
        <v>70</v>
      </c>
      <c r="B73" s="14" t="s">
        <v>104</v>
      </c>
      <c r="C73" s="37" t="s">
        <v>257</v>
      </c>
      <c r="D73" s="14" t="s">
        <v>258</v>
      </c>
      <c r="E73" s="20" t="s">
        <v>397</v>
      </c>
      <c r="F73" s="17" t="s">
        <v>249</v>
      </c>
      <c r="G73" s="91">
        <v>0.52625000000000011</v>
      </c>
      <c r="H73" s="91">
        <v>0.52625000000000011</v>
      </c>
      <c r="I73" s="91">
        <v>2.6312500000000001</v>
      </c>
      <c r="J73" s="91">
        <v>67.5</v>
      </c>
      <c r="K73" s="91">
        <v>0.5</v>
      </c>
      <c r="L73" s="91">
        <v>0.15787499999999999</v>
      </c>
    </row>
    <row r="74" spans="1:12" ht="15" customHeight="1" x14ac:dyDescent="0.45">
      <c r="A74" s="13">
        <f t="shared" si="1"/>
        <v>71</v>
      </c>
      <c r="B74" s="24" t="s">
        <v>114</v>
      </c>
      <c r="C74" s="37" t="s">
        <v>398</v>
      </c>
      <c r="D74" s="24" t="s">
        <v>264</v>
      </c>
      <c r="E74" s="25" t="s">
        <v>399</v>
      </c>
      <c r="F74" s="17" t="s">
        <v>249</v>
      </c>
      <c r="G74" s="91">
        <v>0.52625000000000011</v>
      </c>
      <c r="H74" s="91">
        <v>0.52625000000000011</v>
      </c>
      <c r="I74" s="91">
        <v>2.6312500000000001</v>
      </c>
      <c r="J74" s="91">
        <v>67.5</v>
      </c>
      <c r="K74" s="91">
        <v>0.5</v>
      </c>
      <c r="L74" s="91">
        <v>0.10525</v>
      </c>
    </row>
    <row r="75" spans="1:12" ht="15" customHeight="1" x14ac:dyDescent="0.45">
      <c r="A75" s="13">
        <f t="shared" si="1"/>
        <v>72</v>
      </c>
      <c r="B75" s="24" t="s">
        <v>114</v>
      </c>
      <c r="C75" s="19" t="s">
        <v>246</v>
      </c>
      <c r="D75" s="23" t="s">
        <v>247</v>
      </c>
      <c r="E75" s="28" t="s">
        <v>400</v>
      </c>
      <c r="F75" s="17" t="s">
        <v>249</v>
      </c>
      <c r="G75" s="91">
        <v>3.1574999999999998</v>
      </c>
      <c r="H75" s="91">
        <v>3.1574999999999998</v>
      </c>
      <c r="I75" s="91">
        <v>3.1574999999999998</v>
      </c>
      <c r="J75" s="91"/>
      <c r="K75" s="91">
        <v>0.52625000000000011</v>
      </c>
      <c r="L75" s="91">
        <v>0.78937499999999994</v>
      </c>
    </row>
    <row r="76" spans="1:12" ht="15" customHeight="1" x14ac:dyDescent="0.45">
      <c r="A76" s="13">
        <f t="shared" si="1"/>
        <v>73</v>
      </c>
      <c r="B76" s="24" t="s">
        <v>116</v>
      </c>
      <c r="C76" s="19" t="s">
        <v>401</v>
      </c>
      <c r="D76" s="14" t="s">
        <v>402</v>
      </c>
      <c r="E76" s="20" t="s">
        <v>403</v>
      </c>
      <c r="F76" s="17" t="s">
        <v>249</v>
      </c>
      <c r="G76" s="91">
        <v>1.315625</v>
      </c>
      <c r="H76" s="91">
        <v>2.1050000000000004</v>
      </c>
      <c r="I76" s="91">
        <v>5.2625000000000002</v>
      </c>
      <c r="J76" s="91">
        <v>67.5</v>
      </c>
      <c r="K76" s="91">
        <v>0.25</v>
      </c>
      <c r="L76" s="91">
        <v>0.26312500000000005</v>
      </c>
    </row>
    <row r="77" spans="1:12" ht="15" customHeight="1" x14ac:dyDescent="0.45">
      <c r="A77" s="13">
        <f t="shared" si="1"/>
        <v>74</v>
      </c>
      <c r="B77" s="18" t="s">
        <v>117</v>
      </c>
      <c r="C77" s="19" t="s">
        <v>404</v>
      </c>
      <c r="D77" s="14" t="s">
        <v>404</v>
      </c>
      <c r="E77" s="20" t="s">
        <v>405</v>
      </c>
      <c r="F77" s="17" t="s">
        <v>245</v>
      </c>
      <c r="G77" s="91">
        <v>3.0875000000000004</v>
      </c>
      <c r="H77" s="91">
        <v>3.0875000000000004</v>
      </c>
      <c r="I77" s="91">
        <v>3.0875000000000004</v>
      </c>
      <c r="J77" s="91"/>
      <c r="K77" s="91">
        <v>0.25</v>
      </c>
      <c r="L77" s="91">
        <v>0.12350000000000001</v>
      </c>
    </row>
    <row r="78" spans="1:12" ht="15" customHeight="1" x14ac:dyDescent="0.45">
      <c r="A78" s="13">
        <f t="shared" si="1"/>
        <v>75</v>
      </c>
      <c r="B78" s="32" t="s">
        <v>120</v>
      </c>
      <c r="C78" s="19" t="s">
        <v>406</v>
      </c>
      <c r="D78" s="14" t="s">
        <v>406</v>
      </c>
      <c r="E78" s="20" t="s">
        <v>407</v>
      </c>
      <c r="F78" s="17" t="s">
        <v>249</v>
      </c>
      <c r="G78" s="91">
        <v>1.0525000000000002</v>
      </c>
      <c r="H78" s="91">
        <v>1.0525000000000002</v>
      </c>
      <c r="I78" s="91">
        <v>5.2625000000000002</v>
      </c>
      <c r="J78" s="91">
        <v>67.5</v>
      </c>
      <c r="K78" s="91">
        <v>0.31574999999999998</v>
      </c>
      <c r="L78" s="91">
        <v>0.26312500000000005</v>
      </c>
    </row>
    <row r="79" spans="1:12" ht="15" customHeight="1" x14ac:dyDescent="0.45">
      <c r="A79" s="13">
        <f t="shared" si="1"/>
        <v>76</v>
      </c>
      <c r="B79" s="32" t="s">
        <v>120</v>
      </c>
      <c r="C79" s="19" t="s">
        <v>408</v>
      </c>
      <c r="D79" s="14" t="s">
        <v>288</v>
      </c>
      <c r="E79" s="20" t="s">
        <v>409</v>
      </c>
      <c r="F79" s="17" t="s">
        <v>249</v>
      </c>
      <c r="G79" s="91">
        <v>0.78937499999999994</v>
      </c>
      <c r="H79" s="91">
        <v>0.78937499999999994</v>
      </c>
      <c r="I79" s="91">
        <v>2.6312500000000001</v>
      </c>
      <c r="J79" s="91"/>
      <c r="K79" s="91">
        <v>0.26312500000000005</v>
      </c>
      <c r="L79" s="91">
        <v>0.15787499999999999</v>
      </c>
    </row>
    <row r="80" spans="1:12" ht="15" customHeight="1" x14ac:dyDescent="0.45">
      <c r="A80" s="13">
        <f t="shared" si="1"/>
        <v>77</v>
      </c>
      <c r="B80" s="32" t="s">
        <v>120</v>
      </c>
      <c r="C80" s="19" t="s">
        <v>410</v>
      </c>
      <c r="D80" s="14" t="s">
        <v>410</v>
      </c>
      <c r="E80" s="20" t="s">
        <v>411</v>
      </c>
      <c r="F80" s="17" t="s">
        <v>249</v>
      </c>
      <c r="G80" s="91">
        <v>0.78937499999999994</v>
      </c>
      <c r="H80" s="91">
        <v>0.78937499999999994</v>
      </c>
      <c r="I80" s="91">
        <v>2.6312500000000001</v>
      </c>
      <c r="J80" s="91"/>
      <c r="K80" s="91">
        <v>0.26312500000000005</v>
      </c>
      <c r="L80" s="91">
        <v>0.15787499999999999</v>
      </c>
    </row>
    <row r="81" spans="1:12" ht="15" customHeight="1" x14ac:dyDescent="0.45">
      <c r="A81" s="13">
        <f t="shared" si="1"/>
        <v>78</v>
      </c>
      <c r="B81" s="42" t="s">
        <v>122</v>
      </c>
      <c r="C81" s="43" t="s">
        <v>412</v>
      </c>
      <c r="D81" s="42" t="s">
        <v>413</v>
      </c>
      <c r="E81" s="44" t="s">
        <v>414</v>
      </c>
      <c r="F81" s="17" t="s">
        <v>249</v>
      </c>
      <c r="G81" s="91">
        <v>0.78937499999999994</v>
      </c>
      <c r="H81" s="91">
        <v>0.78937499999999994</v>
      </c>
      <c r="I81" s="91">
        <v>2.6312500000000001</v>
      </c>
      <c r="J81" s="91"/>
      <c r="K81" s="91">
        <v>5.2624999999999998E-2</v>
      </c>
      <c r="L81" s="91">
        <v>5.2624999999999998E-2</v>
      </c>
    </row>
    <row r="82" spans="1:12" ht="15" customHeight="1" x14ac:dyDescent="0.45">
      <c r="A82" s="13">
        <f t="shared" si="1"/>
        <v>79</v>
      </c>
      <c r="B82" s="42" t="s">
        <v>122</v>
      </c>
      <c r="C82" s="43" t="s">
        <v>415</v>
      </c>
      <c r="D82" s="45" t="s">
        <v>264</v>
      </c>
      <c r="E82" s="44" t="s">
        <v>416</v>
      </c>
      <c r="F82" s="17" t="s">
        <v>249</v>
      </c>
      <c r="G82" s="91">
        <v>0.78937499999999994</v>
      </c>
      <c r="H82" s="91">
        <v>0.78937499999999994</v>
      </c>
      <c r="I82" s="91">
        <v>2.6312500000000001</v>
      </c>
      <c r="J82" s="91">
        <v>67.5</v>
      </c>
      <c r="K82" s="91">
        <v>5.2624999999999998E-2</v>
      </c>
      <c r="L82" s="91">
        <v>5.2624999999999998E-2</v>
      </c>
    </row>
    <row r="83" spans="1:12" ht="15" customHeight="1" x14ac:dyDescent="0.45">
      <c r="A83" s="13">
        <f t="shared" si="1"/>
        <v>80</v>
      </c>
      <c r="B83" s="46" t="s">
        <v>123</v>
      </c>
      <c r="C83" s="43" t="s">
        <v>260</v>
      </c>
      <c r="D83" s="42" t="s">
        <v>261</v>
      </c>
      <c r="E83" s="47" t="s">
        <v>417</v>
      </c>
      <c r="F83" s="17" t="s">
        <v>245</v>
      </c>
      <c r="G83" s="91">
        <v>1.8525</v>
      </c>
      <c r="H83" s="91">
        <v>1.8525</v>
      </c>
      <c r="I83" s="91">
        <v>3.0875000000000004</v>
      </c>
      <c r="J83" s="91">
        <v>67.5</v>
      </c>
      <c r="K83" s="91">
        <v>0.625</v>
      </c>
      <c r="L83" s="91">
        <v>0.30875000000000002</v>
      </c>
    </row>
    <row r="84" spans="1:12" ht="15" customHeight="1" x14ac:dyDescent="0.45">
      <c r="A84" s="13">
        <f t="shared" si="1"/>
        <v>81</v>
      </c>
      <c r="B84" s="46" t="s">
        <v>123</v>
      </c>
      <c r="C84" s="43" t="s">
        <v>242</v>
      </c>
      <c r="D84" s="42" t="s">
        <v>243</v>
      </c>
      <c r="E84" s="16" t="s">
        <v>418</v>
      </c>
      <c r="F84" s="17" t="s">
        <v>245</v>
      </c>
      <c r="G84" s="91">
        <v>0.18525</v>
      </c>
      <c r="H84" s="91">
        <v>0.30875000000000002</v>
      </c>
      <c r="I84" s="91">
        <v>0.61750000000000005</v>
      </c>
      <c r="J84" s="91"/>
      <c r="K84" s="91">
        <v>0.625</v>
      </c>
      <c r="L84" s="91">
        <v>6.1750000000000006E-2</v>
      </c>
    </row>
    <row r="85" spans="1:12" ht="15" customHeight="1" x14ac:dyDescent="0.45">
      <c r="A85" s="13">
        <f t="shared" si="1"/>
        <v>82</v>
      </c>
      <c r="B85" s="42" t="s">
        <v>125</v>
      </c>
      <c r="C85" s="48" t="s">
        <v>419</v>
      </c>
      <c r="D85" s="42" t="s">
        <v>420</v>
      </c>
      <c r="E85" s="44" t="s">
        <v>421</v>
      </c>
      <c r="F85" s="17" t="s">
        <v>249</v>
      </c>
      <c r="G85" s="91">
        <v>0.52625000000000011</v>
      </c>
      <c r="H85" s="91">
        <v>0.52625000000000011</v>
      </c>
      <c r="I85" s="91">
        <v>2.6312500000000001</v>
      </c>
      <c r="J85" s="91"/>
      <c r="K85" s="91">
        <v>0.26312500000000005</v>
      </c>
      <c r="L85" s="91">
        <v>0.26312500000000005</v>
      </c>
    </row>
    <row r="86" spans="1:12" ht="15" customHeight="1" x14ac:dyDescent="0.45">
      <c r="A86" s="13">
        <f t="shared" si="1"/>
        <v>83</v>
      </c>
      <c r="B86" s="42" t="s">
        <v>125</v>
      </c>
      <c r="C86" s="43" t="s">
        <v>422</v>
      </c>
      <c r="D86" s="42" t="s">
        <v>264</v>
      </c>
      <c r="E86" s="49" t="s">
        <v>423</v>
      </c>
      <c r="F86" s="17" t="s">
        <v>249</v>
      </c>
      <c r="G86" s="91">
        <v>0.52625000000000011</v>
      </c>
      <c r="H86" s="91">
        <v>1.0525000000000002</v>
      </c>
      <c r="I86" s="91">
        <v>2.6312500000000001</v>
      </c>
      <c r="J86" s="91">
        <v>67.5</v>
      </c>
      <c r="K86" s="91">
        <v>0.625</v>
      </c>
      <c r="L86" s="91">
        <v>0.15787499999999999</v>
      </c>
    </row>
    <row r="87" spans="1:12" ht="15" customHeight="1" x14ac:dyDescent="0.45">
      <c r="A87" s="13">
        <f t="shared" si="1"/>
        <v>84</v>
      </c>
      <c r="B87" s="42" t="s">
        <v>125</v>
      </c>
      <c r="C87" s="43" t="s">
        <v>242</v>
      </c>
      <c r="D87" s="42" t="s">
        <v>243</v>
      </c>
      <c r="E87" s="16" t="s">
        <v>424</v>
      </c>
      <c r="F87" s="17" t="s">
        <v>245</v>
      </c>
      <c r="G87" s="91">
        <v>0.18525</v>
      </c>
      <c r="H87" s="91">
        <v>0.30875000000000002</v>
      </c>
      <c r="I87" s="91">
        <v>0.61750000000000005</v>
      </c>
      <c r="J87" s="91"/>
      <c r="K87" s="91">
        <v>0.625</v>
      </c>
      <c r="L87" s="91">
        <v>6.1750000000000006E-2</v>
      </c>
    </row>
    <row r="88" spans="1:12" ht="15" customHeight="1" x14ac:dyDescent="0.45">
      <c r="A88" s="13">
        <f t="shared" si="1"/>
        <v>85</v>
      </c>
      <c r="B88" s="42" t="s">
        <v>131</v>
      </c>
      <c r="C88" s="43" t="s">
        <v>425</v>
      </c>
      <c r="D88" s="42" t="s">
        <v>426</v>
      </c>
      <c r="E88" s="44" t="s">
        <v>427</v>
      </c>
      <c r="F88" s="17" t="s">
        <v>249</v>
      </c>
      <c r="G88" s="91">
        <v>0.78937499999999994</v>
      </c>
      <c r="H88" s="91">
        <v>1.0525000000000002</v>
      </c>
      <c r="I88" s="91">
        <v>5.2625000000000002</v>
      </c>
      <c r="J88" s="91"/>
      <c r="K88" s="91">
        <v>0.625</v>
      </c>
      <c r="L88" s="91">
        <v>0.26312500000000005</v>
      </c>
    </row>
    <row r="89" spans="1:12" ht="15" customHeight="1" x14ac:dyDescent="0.45">
      <c r="A89" s="13">
        <f t="shared" si="1"/>
        <v>86</v>
      </c>
      <c r="B89" s="42" t="s">
        <v>131</v>
      </c>
      <c r="C89" s="43" t="s">
        <v>428</v>
      </c>
      <c r="D89" s="46" t="s">
        <v>242</v>
      </c>
      <c r="E89" s="16" t="s">
        <v>429</v>
      </c>
      <c r="F89" s="17" t="s">
        <v>245</v>
      </c>
      <c r="G89" s="91">
        <v>0.92625000000000002</v>
      </c>
      <c r="H89" s="91">
        <v>0.92625000000000002</v>
      </c>
      <c r="I89" s="91">
        <v>0.92625000000000002</v>
      </c>
      <c r="J89" s="91"/>
      <c r="K89" s="91">
        <v>0.625</v>
      </c>
      <c r="L89" s="91">
        <v>6.1750000000000006E-2</v>
      </c>
    </row>
    <row r="90" spans="1:12" ht="15" customHeight="1" x14ac:dyDescent="0.45">
      <c r="A90" s="13">
        <f t="shared" si="1"/>
        <v>87</v>
      </c>
      <c r="B90" s="42" t="s">
        <v>132</v>
      </c>
      <c r="C90" s="43" t="s">
        <v>269</v>
      </c>
      <c r="D90" s="42" t="s">
        <v>267</v>
      </c>
      <c r="E90" s="44" t="s">
        <v>430</v>
      </c>
      <c r="F90" s="17" t="s">
        <v>249</v>
      </c>
      <c r="G90" s="91">
        <v>1.0525000000000002</v>
      </c>
      <c r="H90" s="91">
        <v>1.0525000000000002</v>
      </c>
      <c r="I90" s="91">
        <v>3.1574999999999998</v>
      </c>
      <c r="J90" s="91"/>
      <c r="K90" s="91">
        <v>0.26312500000000005</v>
      </c>
      <c r="L90" s="91">
        <v>0.26312500000000005</v>
      </c>
    </row>
    <row r="91" spans="1:12" ht="15" customHeight="1" x14ac:dyDescent="0.45">
      <c r="A91" s="13">
        <f t="shared" si="1"/>
        <v>88</v>
      </c>
      <c r="B91" s="42" t="s">
        <v>138</v>
      </c>
      <c r="C91" s="43" t="s">
        <v>431</v>
      </c>
      <c r="D91" s="42" t="s">
        <v>432</v>
      </c>
      <c r="E91" s="44" t="s">
        <v>433</v>
      </c>
      <c r="F91" s="17" t="s">
        <v>249</v>
      </c>
      <c r="G91" s="91">
        <v>0.52625000000000011</v>
      </c>
      <c r="H91" s="91">
        <v>1.0525000000000002</v>
      </c>
      <c r="I91" s="91">
        <v>5.2625000000000002</v>
      </c>
      <c r="J91" s="91"/>
      <c r="K91" s="91">
        <v>0.52625000000000011</v>
      </c>
      <c r="L91" s="91">
        <v>0.15787499999999999</v>
      </c>
    </row>
    <row r="92" spans="1:12" ht="15" customHeight="1" x14ac:dyDescent="0.45">
      <c r="A92" s="13">
        <f t="shared" si="1"/>
        <v>89</v>
      </c>
      <c r="B92" s="42" t="s">
        <v>139</v>
      </c>
      <c r="C92" s="43" t="s">
        <v>434</v>
      </c>
      <c r="D92" s="42" t="s">
        <v>435</v>
      </c>
      <c r="E92" s="44" t="s">
        <v>436</v>
      </c>
      <c r="F92" s="17" t="s">
        <v>249</v>
      </c>
      <c r="G92" s="91">
        <v>0.26312500000000005</v>
      </c>
      <c r="H92" s="91">
        <v>0.26312500000000005</v>
      </c>
      <c r="I92" s="91">
        <v>3.6837499999999994</v>
      </c>
      <c r="J92" s="91"/>
      <c r="K92" s="91">
        <v>0.625</v>
      </c>
      <c r="L92" s="91">
        <v>0.10525</v>
      </c>
    </row>
    <row r="93" spans="1:12" ht="15" customHeight="1" x14ac:dyDescent="0.45">
      <c r="A93" s="13">
        <f t="shared" si="1"/>
        <v>90</v>
      </c>
      <c r="B93" s="42" t="s">
        <v>139</v>
      </c>
      <c r="C93" s="43" t="s">
        <v>437</v>
      </c>
      <c r="D93" s="42" t="s">
        <v>438</v>
      </c>
      <c r="E93" s="44" t="s">
        <v>439</v>
      </c>
      <c r="F93" s="17" t="s">
        <v>440</v>
      </c>
      <c r="G93" s="91">
        <v>0.96250000000000002</v>
      </c>
      <c r="H93" s="91">
        <v>2.2124999999999999</v>
      </c>
      <c r="I93" s="91">
        <v>3.4624999999999999</v>
      </c>
      <c r="J93" s="91"/>
      <c r="K93" s="91">
        <v>4.7125000000000004</v>
      </c>
      <c r="L93" s="91">
        <v>5.9624999999999995</v>
      </c>
    </row>
    <row r="94" spans="1:12" ht="15" customHeight="1" x14ac:dyDescent="0.45">
      <c r="A94" s="13">
        <f t="shared" si="1"/>
        <v>91</v>
      </c>
      <c r="B94" s="42" t="s">
        <v>139</v>
      </c>
      <c r="C94" s="43" t="s">
        <v>260</v>
      </c>
      <c r="D94" s="42" t="s">
        <v>261</v>
      </c>
      <c r="E94" s="44" t="s">
        <v>441</v>
      </c>
      <c r="F94" s="22" t="s">
        <v>245</v>
      </c>
      <c r="G94" s="91">
        <v>1.8525</v>
      </c>
      <c r="H94" s="91">
        <v>1.8525</v>
      </c>
      <c r="I94" s="91">
        <v>3.0875000000000004</v>
      </c>
      <c r="J94" s="91">
        <v>67.5</v>
      </c>
      <c r="K94" s="91">
        <v>0.625</v>
      </c>
      <c r="L94" s="91">
        <v>0.30875000000000002</v>
      </c>
    </row>
    <row r="95" spans="1:12" ht="15" customHeight="1" x14ac:dyDescent="0.45">
      <c r="A95" s="13">
        <f t="shared" si="1"/>
        <v>92</v>
      </c>
      <c r="B95" s="42" t="s">
        <v>140</v>
      </c>
      <c r="C95" s="43" t="s">
        <v>442</v>
      </c>
      <c r="D95" s="42" t="s">
        <v>442</v>
      </c>
      <c r="E95" s="44" t="s">
        <v>443</v>
      </c>
      <c r="F95" s="22" t="s">
        <v>245</v>
      </c>
      <c r="G95" s="91">
        <v>0.61750000000000005</v>
      </c>
      <c r="H95" s="91">
        <v>3.0875000000000004</v>
      </c>
      <c r="I95" s="91">
        <v>3.0875000000000004</v>
      </c>
      <c r="J95" s="91">
        <v>67.5</v>
      </c>
      <c r="K95" s="91">
        <v>0.625</v>
      </c>
      <c r="L95" s="91">
        <v>0.30875000000000002</v>
      </c>
    </row>
    <row r="96" spans="1:12" ht="15" customHeight="1" x14ac:dyDescent="0.45">
      <c r="A96" s="13">
        <f t="shared" si="1"/>
        <v>93</v>
      </c>
      <c r="B96" s="42" t="s">
        <v>140</v>
      </c>
      <c r="C96" s="43" t="s">
        <v>242</v>
      </c>
      <c r="D96" s="42" t="s">
        <v>243</v>
      </c>
      <c r="E96" s="16" t="s">
        <v>444</v>
      </c>
      <c r="F96" s="17" t="s">
        <v>245</v>
      </c>
      <c r="G96" s="91">
        <v>0.18525</v>
      </c>
      <c r="H96" s="91">
        <v>0.30875000000000002</v>
      </c>
      <c r="I96" s="91">
        <v>0.61750000000000005</v>
      </c>
      <c r="J96" s="91"/>
      <c r="K96" s="91">
        <v>0.625</v>
      </c>
      <c r="L96" s="91">
        <v>6.1750000000000006E-2</v>
      </c>
    </row>
    <row r="97" spans="1:12" ht="15" customHeight="1" x14ac:dyDescent="0.45">
      <c r="A97" s="13">
        <f t="shared" si="1"/>
        <v>94</v>
      </c>
      <c r="B97" s="42" t="s">
        <v>143</v>
      </c>
      <c r="C97" s="43" t="s">
        <v>242</v>
      </c>
      <c r="D97" s="42" t="s">
        <v>243</v>
      </c>
      <c r="E97" s="16" t="s">
        <v>445</v>
      </c>
      <c r="F97" s="30" t="s">
        <v>249</v>
      </c>
      <c r="G97" s="91">
        <v>0.42099999999999999</v>
      </c>
      <c r="H97" s="91">
        <v>1.0525000000000002</v>
      </c>
      <c r="I97" s="91">
        <v>2.6312500000000001</v>
      </c>
      <c r="J97" s="91"/>
      <c r="K97" s="91">
        <v>0.625</v>
      </c>
      <c r="L97" s="91">
        <v>0.10525</v>
      </c>
    </row>
    <row r="98" spans="1:12" ht="15" customHeight="1" x14ac:dyDescent="0.45">
      <c r="A98" s="13">
        <f t="shared" si="1"/>
        <v>95</v>
      </c>
      <c r="B98" s="42" t="s">
        <v>145</v>
      </c>
      <c r="C98" s="43" t="s">
        <v>343</v>
      </c>
      <c r="D98" s="42" t="s">
        <v>261</v>
      </c>
      <c r="E98" s="44" t="s">
        <v>446</v>
      </c>
      <c r="F98" s="22" t="s">
        <v>245</v>
      </c>
      <c r="G98" s="91">
        <v>1.8525</v>
      </c>
      <c r="H98" s="91">
        <v>1.8525</v>
      </c>
      <c r="I98" s="91">
        <v>3.0875000000000004</v>
      </c>
      <c r="J98" s="91">
        <v>67.5</v>
      </c>
      <c r="K98" s="91">
        <v>0.625</v>
      </c>
      <c r="L98" s="91">
        <v>0.30875000000000002</v>
      </c>
    </row>
    <row r="99" spans="1:12" ht="15" customHeight="1" x14ac:dyDescent="0.45">
      <c r="A99" s="13">
        <f t="shared" si="1"/>
        <v>96</v>
      </c>
      <c r="B99" s="42" t="s">
        <v>145</v>
      </c>
      <c r="C99" s="43" t="s">
        <v>242</v>
      </c>
      <c r="D99" s="42" t="s">
        <v>243</v>
      </c>
      <c r="E99" s="16" t="s">
        <v>447</v>
      </c>
      <c r="F99" s="17" t="s">
        <v>245</v>
      </c>
      <c r="G99" s="91">
        <v>0.18525</v>
      </c>
      <c r="H99" s="91">
        <v>0.30875000000000002</v>
      </c>
      <c r="I99" s="91">
        <v>0.61750000000000005</v>
      </c>
      <c r="J99" s="91"/>
      <c r="K99" s="91">
        <v>0.625</v>
      </c>
      <c r="L99" s="91">
        <v>6.1750000000000006E-2</v>
      </c>
    </row>
    <row r="100" spans="1:12" ht="15" customHeight="1" x14ac:dyDescent="0.45">
      <c r="A100" s="13">
        <f t="shared" si="1"/>
        <v>97</v>
      </c>
      <c r="B100" s="50" t="s">
        <v>146</v>
      </c>
      <c r="C100" s="51" t="s">
        <v>448</v>
      </c>
      <c r="D100" s="24" t="s">
        <v>449</v>
      </c>
      <c r="E100" s="25" t="s">
        <v>450</v>
      </c>
      <c r="F100" s="29" t="s">
        <v>245</v>
      </c>
      <c r="G100" s="91">
        <v>0.61750000000000005</v>
      </c>
      <c r="H100" s="91">
        <v>0.61750000000000005</v>
      </c>
      <c r="I100" s="91">
        <v>3.0875000000000004</v>
      </c>
      <c r="J100" s="91">
        <v>67.5</v>
      </c>
      <c r="K100" s="91">
        <v>0.625</v>
      </c>
      <c r="L100" s="91">
        <v>0.12350000000000001</v>
      </c>
    </row>
    <row r="101" spans="1:12" ht="15" customHeight="1" x14ac:dyDescent="0.45">
      <c r="A101" s="13">
        <f t="shared" si="1"/>
        <v>98</v>
      </c>
      <c r="B101" s="50" t="s">
        <v>146</v>
      </c>
      <c r="C101" s="52" t="s">
        <v>451</v>
      </c>
      <c r="D101" s="53" t="s">
        <v>452</v>
      </c>
      <c r="E101" s="54" t="s">
        <v>453</v>
      </c>
      <c r="F101" s="29" t="s">
        <v>249</v>
      </c>
      <c r="G101" s="91">
        <v>0.52625000000000011</v>
      </c>
      <c r="H101" s="91">
        <v>1.0525000000000002</v>
      </c>
      <c r="I101" s="91">
        <v>5.2625000000000002</v>
      </c>
      <c r="J101" s="91"/>
      <c r="K101" s="91">
        <v>0.625</v>
      </c>
      <c r="L101" s="91">
        <v>0.15787499999999999</v>
      </c>
    </row>
    <row r="102" spans="1:12" ht="15" customHeight="1" x14ac:dyDescent="0.45">
      <c r="A102" s="13">
        <f t="shared" si="1"/>
        <v>99</v>
      </c>
      <c r="B102" s="42" t="s">
        <v>151</v>
      </c>
      <c r="C102" s="43" t="s">
        <v>454</v>
      </c>
      <c r="D102" s="42" t="s">
        <v>455</v>
      </c>
      <c r="E102" s="44" t="s">
        <v>456</v>
      </c>
      <c r="F102" s="29" t="s">
        <v>249</v>
      </c>
      <c r="G102" s="91">
        <v>0.52625000000000011</v>
      </c>
      <c r="H102" s="91">
        <v>0.78937499999999994</v>
      </c>
      <c r="I102" s="91">
        <v>5.2625000000000002</v>
      </c>
      <c r="J102" s="91"/>
      <c r="K102" s="91">
        <v>0.625</v>
      </c>
      <c r="L102" s="91">
        <v>0.52625000000000011</v>
      </c>
    </row>
    <row r="103" spans="1:12" ht="15" customHeight="1" x14ac:dyDescent="0.45">
      <c r="A103" s="13">
        <f t="shared" si="1"/>
        <v>100</v>
      </c>
      <c r="B103" s="42" t="s">
        <v>154</v>
      </c>
      <c r="C103" s="43" t="s">
        <v>457</v>
      </c>
      <c r="D103" s="42" t="s">
        <v>264</v>
      </c>
      <c r="E103" s="44" t="s">
        <v>458</v>
      </c>
      <c r="F103" s="29" t="s">
        <v>459</v>
      </c>
      <c r="G103" s="91">
        <v>0.41500000000000004</v>
      </c>
      <c r="H103" s="91">
        <v>0.41500000000000004</v>
      </c>
      <c r="I103" s="91">
        <v>1.2449999999999999</v>
      </c>
      <c r="J103" s="91"/>
      <c r="K103" s="91">
        <v>0.625</v>
      </c>
      <c r="L103" s="91">
        <v>0.20750000000000002</v>
      </c>
    </row>
    <row r="104" spans="1:12" ht="15" customHeight="1" x14ac:dyDescent="0.45">
      <c r="A104" s="13">
        <f t="shared" si="1"/>
        <v>101</v>
      </c>
      <c r="B104" s="42" t="s">
        <v>154</v>
      </c>
      <c r="C104" s="43" t="s">
        <v>460</v>
      </c>
      <c r="D104" s="42" t="s">
        <v>264</v>
      </c>
      <c r="E104" s="44" t="s">
        <v>461</v>
      </c>
      <c r="F104" s="29" t="s">
        <v>459</v>
      </c>
      <c r="G104" s="91">
        <v>0.41250000000000003</v>
      </c>
      <c r="H104" s="91">
        <v>0.41250000000000003</v>
      </c>
      <c r="I104" s="91">
        <v>1.2449999999999999</v>
      </c>
      <c r="J104" s="91"/>
      <c r="K104" s="91">
        <v>0.41250000000000003</v>
      </c>
      <c r="L104" s="91">
        <v>4.1500000000000002E-2</v>
      </c>
    </row>
    <row r="105" spans="1:12" ht="15" customHeight="1" x14ac:dyDescent="0.45">
      <c r="A105" s="13">
        <f t="shared" si="1"/>
        <v>102</v>
      </c>
      <c r="B105" s="42" t="s">
        <v>154</v>
      </c>
      <c r="C105" s="55" t="s">
        <v>462</v>
      </c>
      <c r="D105" s="14"/>
      <c r="E105" s="20" t="s">
        <v>463</v>
      </c>
      <c r="F105" s="29" t="s">
        <v>459</v>
      </c>
      <c r="G105" s="91">
        <v>1.2449999999999999</v>
      </c>
      <c r="H105" s="91">
        <v>1.6600000000000001</v>
      </c>
      <c r="I105" s="91">
        <v>2.0749999999999997</v>
      </c>
      <c r="J105" s="91"/>
      <c r="K105" s="91">
        <v>0.25</v>
      </c>
      <c r="L105" s="91">
        <v>3.32E-2</v>
      </c>
    </row>
    <row r="106" spans="1:12" ht="15" customHeight="1" x14ac:dyDescent="0.45">
      <c r="A106" s="13">
        <f t="shared" si="1"/>
        <v>103</v>
      </c>
      <c r="B106" s="46" t="s">
        <v>155</v>
      </c>
      <c r="C106" s="43" t="s">
        <v>343</v>
      </c>
      <c r="D106" s="42" t="s">
        <v>261</v>
      </c>
      <c r="E106" s="20" t="s">
        <v>464</v>
      </c>
      <c r="F106" s="17" t="s">
        <v>245</v>
      </c>
      <c r="G106" s="91">
        <v>1.8525</v>
      </c>
      <c r="H106" s="91">
        <v>1.8525</v>
      </c>
      <c r="I106" s="91">
        <v>3.0875000000000004</v>
      </c>
      <c r="J106" s="91">
        <v>67.5</v>
      </c>
      <c r="K106" s="91">
        <v>0.25</v>
      </c>
      <c r="L106" s="91">
        <v>0.30875000000000002</v>
      </c>
    </row>
    <row r="107" spans="1:12" ht="15" customHeight="1" x14ac:dyDescent="0.45">
      <c r="A107" s="13">
        <f t="shared" si="1"/>
        <v>104</v>
      </c>
      <c r="B107" s="42" t="s">
        <v>158</v>
      </c>
      <c r="C107" s="43" t="s">
        <v>388</v>
      </c>
      <c r="D107" s="42" t="s">
        <v>243</v>
      </c>
      <c r="E107" s="16" t="s">
        <v>465</v>
      </c>
      <c r="F107" s="17" t="s">
        <v>245</v>
      </c>
      <c r="G107" s="91">
        <v>0.18525</v>
      </c>
      <c r="H107" s="91">
        <v>0.30875000000000002</v>
      </c>
      <c r="I107" s="91">
        <v>0.61750000000000005</v>
      </c>
      <c r="J107" s="91"/>
      <c r="K107" s="91">
        <v>0.25</v>
      </c>
      <c r="L107" s="91">
        <v>6.1750000000000006E-2</v>
      </c>
    </row>
    <row r="108" spans="1:12" ht="15" customHeight="1" x14ac:dyDescent="0.45">
      <c r="A108" s="13">
        <f t="shared" si="1"/>
        <v>105</v>
      </c>
      <c r="B108" s="42" t="s">
        <v>159</v>
      </c>
      <c r="C108" s="43" t="s">
        <v>466</v>
      </c>
      <c r="D108" s="42" t="s">
        <v>466</v>
      </c>
      <c r="E108" s="44" t="s">
        <v>467</v>
      </c>
      <c r="F108" s="29" t="s">
        <v>249</v>
      </c>
      <c r="G108" s="91">
        <v>0.52625000000000011</v>
      </c>
      <c r="H108" s="91">
        <v>1.0525000000000002</v>
      </c>
      <c r="I108" s="91">
        <v>4.2100000000000009</v>
      </c>
      <c r="J108" s="91"/>
      <c r="K108" s="91">
        <v>0.25</v>
      </c>
      <c r="L108" s="91">
        <v>0.15787499999999999</v>
      </c>
    </row>
    <row r="109" spans="1:12" ht="15" customHeight="1" x14ac:dyDescent="0.45">
      <c r="A109" s="13">
        <f t="shared" si="1"/>
        <v>106</v>
      </c>
      <c r="B109" s="42" t="s">
        <v>159</v>
      </c>
      <c r="C109" s="43" t="s">
        <v>468</v>
      </c>
      <c r="D109" s="42" t="s">
        <v>469</v>
      </c>
      <c r="E109" s="44" t="s">
        <v>470</v>
      </c>
      <c r="F109" s="29" t="s">
        <v>249</v>
      </c>
      <c r="G109" s="91">
        <v>0.52625000000000011</v>
      </c>
      <c r="H109" s="91">
        <v>1.0525000000000002</v>
      </c>
      <c r="I109" s="91">
        <v>2.6312500000000001</v>
      </c>
      <c r="J109" s="91">
        <v>67.5</v>
      </c>
      <c r="K109" s="91">
        <v>0.15787499999999999</v>
      </c>
      <c r="L109" s="91">
        <v>5.2624999999999998E-2</v>
      </c>
    </row>
    <row r="110" spans="1:12" ht="15" customHeight="1" x14ac:dyDescent="0.45">
      <c r="A110" s="13">
        <f t="shared" si="1"/>
        <v>107</v>
      </c>
      <c r="B110" s="42" t="s">
        <v>161</v>
      </c>
      <c r="C110" s="42" t="s">
        <v>471</v>
      </c>
      <c r="D110" s="42" t="s">
        <v>247</v>
      </c>
      <c r="E110" s="44" t="s">
        <v>472</v>
      </c>
      <c r="F110" s="17" t="s">
        <v>245</v>
      </c>
      <c r="G110" s="91">
        <v>1.2350000000000001</v>
      </c>
      <c r="H110" s="91">
        <v>1.2350000000000001</v>
      </c>
      <c r="I110" s="91">
        <v>3.3962500000000007</v>
      </c>
      <c r="J110" s="91"/>
      <c r="K110" s="91">
        <v>0.30875000000000002</v>
      </c>
      <c r="L110" s="91">
        <v>0.61750000000000005</v>
      </c>
    </row>
    <row r="111" spans="1:12" ht="15" customHeight="1" x14ac:dyDescent="0.45">
      <c r="A111" s="13">
        <f t="shared" si="1"/>
        <v>108</v>
      </c>
      <c r="B111" s="42" t="s">
        <v>161</v>
      </c>
      <c r="C111" s="43" t="s">
        <v>242</v>
      </c>
      <c r="D111" s="42" t="s">
        <v>243</v>
      </c>
      <c r="E111" s="16" t="s">
        <v>473</v>
      </c>
      <c r="F111" s="17" t="s">
        <v>245</v>
      </c>
      <c r="G111" s="91">
        <v>0.18525</v>
      </c>
      <c r="H111" s="91">
        <v>0.30875000000000002</v>
      </c>
      <c r="I111" s="91">
        <v>0.61750000000000005</v>
      </c>
      <c r="J111" s="91"/>
      <c r="K111" s="91">
        <v>0.625</v>
      </c>
      <c r="L111" s="91">
        <v>6.1750000000000006E-2</v>
      </c>
    </row>
    <row r="112" spans="1:12" ht="15" customHeight="1" x14ac:dyDescent="0.45">
      <c r="A112" s="13">
        <f t="shared" si="1"/>
        <v>109</v>
      </c>
      <c r="B112" s="42" t="s">
        <v>162</v>
      </c>
      <c r="C112" s="43" t="s">
        <v>474</v>
      </c>
      <c r="D112" s="42" t="s">
        <v>474</v>
      </c>
      <c r="E112" s="44" t="s">
        <v>475</v>
      </c>
      <c r="F112" s="29" t="s">
        <v>249</v>
      </c>
      <c r="G112" s="91">
        <v>0.78937499999999994</v>
      </c>
      <c r="H112" s="91">
        <v>0.78937499999999994</v>
      </c>
      <c r="I112" s="91">
        <v>5.2625000000000002</v>
      </c>
      <c r="J112" s="91"/>
      <c r="K112" s="91">
        <v>0.625</v>
      </c>
      <c r="L112" s="91">
        <v>0.26312500000000005</v>
      </c>
    </row>
    <row r="113" spans="1:12" ht="15" customHeight="1" x14ac:dyDescent="0.45">
      <c r="A113" s="13">
        <f t="shared" si="1"/>
        <v>110</v>
      </c>
      <c r="B113" s="42" t="s">
        <v>162</v>
      </c>
      <c r="C113" s="43" t="s">
        <v>257</v>
      </c>
      <c r="D113" s="42" t="s">
        <v>258</v>
      </c>
      <c r="E113" s="44" t="s">
        <v>476</v>
      </c>
      <c r="F113" s="17" t="s">
        <v>245</v>
      </c>
      <c r="G113" s="91">
        <v>0.92625000000000002</v>
      </c>
      <c r="H113" s="91">
        <v>0.92625000000000002</v>
      </c>
      <c r="I113" s="91">
        <v>6.1750000000000007</v>
      </c>
      <c r="J113" s="91"/>
      <c r="K113" s="91">
        <v>0.625</v>
      </c>
      <c r="L113" s="91">
        <v>0.12350000000000001</v>
      </c>
    </row>
    <row r="114" spans="1:12" ht="15" customHeight="1" x14ac:dyDescent="0.45">
      <c r="A114" s="13">
        <f t="shared" si="1"/>
        <v>111</v>
      </c>
      <c r="B114" s="42" t="s">
        <v>162</v>
      </c>
      <c r="C114" s="43" t="s">
        <v>477</v>
      </c>
      <c r="D114" s="56" t="s">
        <v>264</v>
      </c>
      <c r="E114" s="47" t="s">
        <v>478</v>
      </c>
      <c r="F114" s="29" t="s">
        <v>249</v>
      </c>
      <c r="G114" s="91">
        <v>0.52625000000000011</v>
      </c>
      <c r="H114" s="91">
        <v>0.68412499999999998</v>
      </c>
      <c r="I114" s="91">
        <v>5.2625000000000002</v>
      </c>
      <c r="J114" s="91"/>
      <c r="K114" s="91">
        <v>0.625</v>
      </c>
      <c r="L114" s="91">
        <v>0.15787499999999999</v>
      </c>
    </row>
    <row r="115" spans="1:12" ht="15" customHeight="1" x14ac:dyDescent="0.45">
      <c r="A115" s="13">
        <f t="shared" si="1"/>
        <v>112</v>
      </c>
      <c r="B115" s="46" t="s">
        <v>166</v>
      </c>
      <c r="C115" s="43" t="s">
        <v>479</v>
      </c>
      <c r="D115" s="42" t="s">
        <v>264</v>
      </c>
      <c r="E115" s="49" t="s">
        <v>480</v>
      </c>
      <c r="F115" s="17" t="s">
        <v>245</v>
      </c>
      <c r="G115" s="91">
        <v>0.92625000000000002</v>
      </c>
      <c r="H115" s="91">
        <v>0.92625000000000002</v>
      </c>
      <c r="I115" s="91">
        <v>6.1750000000000007</v>
      </c>
      <c r="J115" s="91"/>
      <c r="K115" s="91">
        <v>0.625</v>
      </c>
      <c r="L115" s="91">
        <v>0.12350000000000001</v>
      </c>
    </row>
    <row r="116" spans="1:12" ht="15" customHeight="1" x14ac:dyDescent="0.45">
      <c r="A116" s="13">
        <f t="shared" si="1"/>
        <v>113</v>
      </c>
      <c r="B116" s="46" t="s">
        <v>166</v>
      </c>
      <c r="C116" s="43" t="s">
        <v>269</v>
      </c>
      <c r="D116" s="42" t="s">
        <v>267</v>
      </c>
      <c r="E116" s="44" t="s">
        <v>481</v>
      </c>
      <c r="F116" s="17" t="s">
        <v>249</v>
      </c>
      <c r="G116" s="91">
        <v>1.0525000000000002</v>
      </c>
      <c r="H116" s="91">
        <v>1.0525000000000002</v>
      </c>
      <c r="I116" s="91">
        <v>3.1574999999999998</v>
      </c>
      <c r="J116" s="91"/>
      <c r="K116" s="91">
        <v>0.26312500000000005</v>
      </c>
      <c r="L116" s="91">
        <v>0.26312500000000005</v>
      </c>
    </row>
    <row r="117" spans="1:12" ht="15" customHeight="1" x14ac:dyDescent="0.45">
      <c r="A117" s="13">
        <f t="shared" si="1"/>
        <v>114</v>
      </c>
      <c r="B117" s="46" t="s">
        <v>166</v>
      </c>
      <c r="C117" s="43" t="s">
        <v>482</v>
      </c>
      <c r="D117" s="42" t="s">
        <v>267</v>
      </c>
      <c r="E117" s="44" t="s">
        <v>483</v>
      </c>
      <c r="F117" s="17" t="s">
        <v>249</v>
      </c>
      <c r="G117" s="91">
        <v>1.0525000000000002</v>
      </c>
      <c r="H117" s="91">
        <v>1.0525000000000002</v>
      </c>
      <c r="I117" s="91">
        <v>3.1574999999999998</v>
      </c>
      <c r="J117" s="91"/>
      <c r="K117" s="91">
        <v>0.26312500000000005</v>
      </c>
      <c r="L117" s="91">
        <v>0.26312500000000005</v>
      </c>
    </row>
    <row r="118" spans="1:12" s="57" customFormat="1" ht="15" customHeight="1" x14ac:dyDescent="0.45">
      <c r="A118" s="13">
        <f t="shared" si="1"/>
        <v>115</v>
      </c>
      <c r="B118" s="42" t="s">
        <v>167</v>
      </c>
      <c r="C118" s="48" t="s">
        <v>484</v>
      </c>
      <c r="D118" s="42" t="s">
        <v>365</v>
      </c>
      <c r="E118" s="44" t="s">
        <v>485</v>
      </c>
      <c r="F118" s="29" t="s">
        <v>249</v>
      </c>
      <c r="G118" s="91">
        <v>0.52625000000000011</v>
      </c>
      <c r="H118" s="91">
        <v>0.52625000000000011</v>
      </c>
      <c r="I118" s="91">
        <v>5.2625000000000002</v>
      </c>
      <c r="J118" s="91"/>
      <c r="K118" s="91">
        <v>0.625</v>
      </c>
      <c r="L118" s="91">
        <v>5.2624999999999998E-2</v>
      </c>
    </row>
    <row r="119" spans="1:12" ht="15" customHeight="1" x14ac:dyDescent="0.45">
      <c r="A119" s="13">
        <f t="shared" si="1"/>
        <v>116</v>
      </c>
      <c r="B119" s="42" t="s">
        <v>167</v>
      </c>
      <c r="C119" s="32" t="s">
        <v>486</v>
      </c>
      <c r="D119" s="42" t="s">
        <v>486</v>
      </c>
      <c r="E119" s="44" t="s">
        <v>487</v>
      </c>
      <c r="F119" s="29" t="s">
        <v>249</v>
      </c>
      <c r="G119" s="91">
        <v>0.42099999999999999</v>
      </c>
      <c r="H119" s="91">
        <v>1.0525000000000002</v>
      </c>
      <c r="I119" s="91">
        <v>3.1574999999999998</v>
      </c>
      <c r="J119" s="91"/>
      <c r="K119" s="91">
        <v>0.625</v>
      </c>
      <c r="L119" s="91">
        <v>5.2624999999999998E-2</v>
      </c>
    </row>
    <row r="120" spans="1:12" ht="15" customHeight="1" x14ac:dyDescent="0.45">
      <c r="A120" s="13">
        <f t="shared" si="1"/>
        <v>117</v>
      </c>
      <c r="B120" s="42" t="s">
        <v>169</v>
      </c>
      <c r="C120" s="43" t="s">
        <v>488</v>
      </c>
      <c r="D120" s="42" t="s">
        <v>264</v>
      </c>
      <c r="E120" s="44" t="s">
        <v>489</v>
      </c>
      <c r="F120" s="29" t="s">
        <v>249</v>
      </c>
      <c r="G120" s="91">
        <v>0.52625000000000011</v>
      </c>
      <c r="H120" s="91">
        <v>1.0525000000000002</v>
      </c>
      <c r="I120" s="91">
        <v>5.2625000000000002</v>
      </c>
      <c r="J120" s="91"/>
      <c r="K120" s="91">
        <v>0.625</v>
      </c>
      <c r="L120" s="91">
        <v>0.15787499999999999</v>
      </c>
    </row>
    <row r="121" spans="1:12" ht="15" customHeight="1" x14ac:dyDescent="0.45">
      <c r="A121" s="13">
        <f t="shared" si="1"/>
        <v>118</v>
      </c>
      <c r="B121" s="42" t="s">
        <v>169</v>
      </c>
      <c r="C121" s="43" t="s">
        <v>490</v>
      </c>
      <c r="D121" s="42" t="s">
        <v>491</v>
      </c>
      <c r="E121" s="44" t="s">
        <v>492</v>
      </c>
      <c r="F121" s="29" t="s">
        <v>493</v>
      </c>
      <c r="G121" s="91">
        <v>0.55593749999999997</v>
      </c>
      <c r="H121" s="91">
        <v>0.83390624999999996</v>
      </c>
      <c r="I121" s="91">
        <v>5.5593749999999993</v>
      </c>
      <c r="J121" s="91"/>
      <c r="K121" s="91">
        <v>0.27796874999999999</v>
      </c>
      <c r="L121" s="91">
        <v>0.27796874999999999</v>
      </c>
    </row>
    <row r="122" spans="1:12" ht="15" customHeight="1" x14ac:dyDescent="0.45">
      <c r="A122" s="13">
        <f t="shared" si="1"/>
        <v>119</v>
      </c>
      <c r="B122" s="42" t="s">
        <v>172</v>
      </c>
      <c r="C122" s="43" t="s">
        <v>494</v>
      </c>
      <c r="D122" s="42"/>
      <c r="E122" s="44" t="s">
        <v>495</v>
      </c>
      <c r="F122" s="29" t="s">
        <v>249</v>
      </c>
      <c r="G122" s="91">
        <v>0.78937499999999994</v>
      </c>
      <c r="H122" s="91">
        <v>2.1050000000000004</v>
      </c>
      <c r="I122" s="91">
        <v>5.2625000000000002</v>
      </c>
      <c r="J122" s="91"/>
      <c r="K122" s="91">
        <v>1.315625</v>
      </c>
      <c r="L122" s="91">
        <v>1.315625</v>
      </c>
    </row>
    <row r="123" spans="1:12" ht="15" customHeight="1" x14ac:dyDescent="0.45">
      <c r="A123" s="13">
        <f t="shared" si="1"/>
        <v>120</v>
      </c>
      <c r="B123" s="42" t="s">
        <v>172</v>
      </c>
      <c r="C123" s="43" t="s">
        <v>496</v>
      </c>
      <c r="D123" s="42" t="s">
        <v>267</v>
      </c>
      <c r="E123" s="44" t="s">
        <v>497</v>
      </c>
      <c r="F123" s="17" t="s">
        <v>249</v>
      </c>
      <c r="G123" s="91">
        <v>1.0525000000000002</v>
      </c>
      <c r="H123" s="91">
        <v>1.0525000000000002</v>
      </c>
      <c r="I123" s="91">
        <v>3.1574999999999998</v>
      </c>
      <c r="J123" s="91"/>
      <c r="K123" s="91">
        <v>0.26312500000000005</v>
      </c>
      <c r="L123" s="91">
        <v>0.26312500000000005</v>
      </c>
    </row>
    <row r="124" spans="1:12" ht="15" customHeight="1" x14ac:dyDescent="0.45">
      <c r="A124" s="13">
        <f t="shared" si="1"/>
        <v>121</v>
      </c>
      <c r="B124" s="42" t="s">
        <v>172</v>
      </c>
      <c r="C124" s="43" t="s">
        <v>498</v>
      </c>
      <c r="D124" s="42" t="s">
        <v>499</v>
      </c>
      <c r="E124" s="44" t="s">
        <v>500</v>
      </c>
      <c r="F124" s="29" t="s">
        <v>249</v>
      </c>
      <c r="G124" s="91">
        <v>0.26312500000000005</v>
      </c>
      <c r="H124" s="91">
        <v>0.26312500000000005</v>
      </c>
      <c r="I124" s="91">
        <v>2.6312500000000001</v>
      </c>
      <c r="J124" s="91"/>
      <c r="K124" s="91">
        <v>2.6312499999999999E-2</v>
      </c>
      <c r="L124" s="91">
        <v>5.2624999999999998E-2</v>
      </c>
    </row>
    <row r="125" spans="1:12" ht="15" customHeight="1" x14ac:dyDescent="0.45">
      <c r="A125" s="13">
        <f t="shared" si="1"/>
        <v>122</v>
      </c>
      <c r="B125" s="42" t="s">
        <v>173</v>
      </c>
      <c r="C125" s="46" t="s">
        <v>501</v>
      </c>
      <c r="D125" s="42" t="s">
        <v>288</v>
      </c>
      <c r="E125" s="20" t="s">
        <v>502</v>
      </c>
      <c r="F125" s="17" t="s">
        <v>249</v>
      </c>
      <c r="G125" s="91">
        <v>0.78937499999999994</v>
      </c>
      <c r="H125" s="91">
        <v>2.1050000000000004</v>
      </c>
      <c r="I125" s="91">
        <v>2.6312500000000001</v>
      </c>
      <c r="J125" s="91"/>
      <c r="K125" s="91">
        <v>0.26312500000000005</v>
      </c>
      <c r="L125" s="91">
        <v>0.15787499999999999</v>
      </c>
    </row>
    <row r="126" spans="1:12" ht="15" customHeight="1" x14ac:dyDescent="0.45">
      <c r="A126" s="13">
        <f t="shared" si="1"/>
        <v>123</v>
      </c>
      <c r="B126" s="42" t="s">
        <v>178</v>
      </c>
      <c r="C126" s="58" t="s">
        <v>242</v>
      </c>
      <c r="D126" s="50" t="s">
        <v>243</v>
      </c>
      <c r="E126" s="16" t="s">
        <v>503</v>
      </c>
      <c r="F126" s="17" t="s">
        <v>245</v>
      </c>
      <c r="G126" s="91">
        <v>0.18525</v>
      </c>
      <c r="H126" s="91">
        <v>0.30875000000000002</v>
      </c>
      <c r="I126" s="91">
        <v>0.61750000000000005</v>
      </c>
      <c r="J126" s="91"/>
      <c r="K126" s="91">
        <v>0.625</v>
      </c>
      <c r="L126" s="91">
        <v>6.1750000000000006E-2</v>
      </c>
    </row>
    <row r="127" spans="1:12" ht="15" customHeight="1" x14ac:dyDescent="0.45">
      <c r="A127" s="13">
        <f t="shared" si="1"/>
        <v>124</v>
      </c>
      <c r="B127" s="42" t="s">
        <v>178</v>
      </c>
      <c r="C127" s="43" t="s">
        <v>504</v>
      </c>
      <c r="D127" s="50" t="s">
        <v>264</v>
      </c>
      <c r="E127" s="44" t="s">
        <v>505</v>
      </c>
      <c r="F127" s="59" t="s">
        <v>249</v>
      </c>
      <c r="G127" s="91">
        <v>0.21049999999999999</v>
      </c>
      <c r="H127" s="91">
        <v>0.26312500000000005</v>
      </c>
      <c r="I127" s="91">
        <v>1.315625</v>
      </c>
      <c r="J127" s="91"/>
      <c r="K127" s="91">
        <v>0.625</v>
      </c>
      <c r="L127" s="91">
        <v>5.2624999999999998E-2</v>
      </c>
    </row>
    <row r="128" spans="1:12" ht="15" customHeight="1" x14ac:dyDescent="0.45">
      <c r="A128" s="13">
        <f t="shared" si="1"/>
        <v>125</v>
      </c>
      <c r="B128" s="42" t="s">
        <v>228</v>
      </c>
      <c r="C128" s="58" t="s">
        <v>506</v>
      </c>
      <c r="D128" s="50" t="s">
        <v>507</v>
      </c>
      <c r="E128" s="47" t="s">
        <v>508</v>
      </c>
      <c r="F128" s="29" t="s">
        <v>249</v>
      </c>
      <c r="G128" s="91">
        <v>0.94724999999999993</v>
      </c>
      <c r="H128" s="91">
        <v>0.78937499999999994</v>
      </c>
      <c r="I128" s="91">
        <v>5.2625000000000002</v>
      </c>
      <c r="J128" s="91"/>
      <c r="K128" s="91">
        <v>0.52625000000000011</v>
      </c>
      <c r="L128" s="91">
        <v>0.31574999999999998</v>
      </c>
    </row>
    <row r="129" spans="1:12" ht="15" customHeight="1" x14ac:dyDescent="0.45">
      <c r="A129" s="13">
        <f t="shared" si="1"/>
        <v>126</v>
      </c>
      <c r="B129" s="42" t="s">
        <v>229</v>
      </c>
      <c r="C129" s="58" t="s">
        <v>257</v>
      </c>
      <c r="D129" s="50" t="s">
        <v>258</v>
      </c>
      <c r="E129" s="47" t="s">
        <v>509</v>
      </c>
      <c r="F129" s="17" t="s">
        <v>245</v>
      </c>
      <c r="G129" s="91">
        <v>0.92625000000000002</v>
      </c>
      <c r="H129" s="91">
        <v>0.92625000000000002</v>
      </c>
      <c r="I129" s="91">
        <v>6.1750000000000007</v>
      </c>
      <c r="J129" s="91"/>
      <c r="K129" s="91">
        <v>0.625</v>
      </c>
      <c r="L129" s="91">
        <v>0.12350000000000001</v>
      </c>
    </row>
    <row r="130" spans="1:12" ht="15" customHeight="1" x14ac:dyDescent="0.45">
      <c r="A130" s="13">
        <f t="shared" si="1"/>
        <v>127</v>
      </c>
      <c r="B130" s="42" t="s">
        <v>229</v>
      </c>
      <c r="C130" s="60" t="s">
        <v>309</v>
      </c>
      <c r="D130" s="50" t="s">
        <v>247</v>
      </c>
      <c r="E130" s="47" t="s">
        <v>510</v>
      </c>
      <c r="F130" s="17" t="s">
        <v>245</v>
      </c>
      <c r="G130" s="91">
        <v>1.2350000000000001</v>
      </c>
      <c r="H130" s="91">
        <v>1.2350000000000001</v>
      </c>
      <c r="I130" s="91">
        <v>3.3962500000000007</v>
      </c>
      <c r="J130" s="91"/>
      <c r="K130" s="91">
        <v>0.30875000000000002</v>
      </c>
      <c r="L130" s="91">
        <v>0.61750000000000005</v>
      </c>
    </row>
    <row r="131" spans="1:12" ht="15" customHeight="1" x14ac:dyDescent="0.45">
      <c r="A131" s="13">
        <f t="shared" si="1"/>
        <v>128</v>
      </c>
      <c r="B131" s="42" t="s">
        <v>229</v>
      </c>
      <c r="C131" s="58" t="s">
        <v>242</v>
      </c>
      <c r="D131" s="50" t="s">
        <v>243</v>
      </c>
      <c r="E131" s="16" t="s">
        <v>511</v>
      </c>
      <c r="F131" s="17" t="s">
        <v>245</v>
      </c>
      <c r="G131" s="91">
        <v>0.18525</v>
      </c>
      <c r="H131" s="91">
        <v>0.30875000000000002</v>
      </c>
      <c r="I131" s="91">
        <v>0.61750000000000005</v>
      </c>
      <c r="J131" s="91"/>
      <c r="K131" s="91">
        <v>0.625</v>
      </c>
      <c r="L131" s="91">
        <v>6.1750000000000006E-2</v>
      </c>
    </row>
    <row r="132" spans="1:12" ht="15" customHeight="1" x14ac:dyDescent="0.45">
      <c r="A132" s="13">
        <f t="shared" si="1"/>
        <v>129</v>
      </c>
      <c r="B132" s="42" t="s">
        <v>181</v>
      </c>
      <c r="C132" s="58" t="s">
        <v>512</v>
      </c>
      <c r="D132" s="50" t="s">
        <v>513</v>
      </c>
      <c r="E132" s="47" t="s">
        <v>514</v>
      </c>
      <c r="F132" s="29" t="s">
        <v>249</v>
      </c>
      <c r="G132" s="91">
        <v>0.31574999999999998</v>
      </c>
      <c r="H132" s="91">
        <v>0.31574999999999998</v>
      </c>
      <c r="I132" s="91">
        <v>2.6312500000000001</v>
      </c>
      <c r="J132" s="91">
        <v>67.5</v>
      </c>
      <c r="K132" s="91">
        <v>0.625</v>
      </c>
      <c r="L132" s="91">
        <v>0.10525</v>
      </c>
    </row>
    <row r="133" spans="1:12" ht="15" customHeight="1" x14ac:dyDescent="0.45">
      <c r="A133" s="13">
        <f t="shared" si="1"/>
        <v>130</v>
      </c>
      <c r="B133" s="42" t="s">
        <v>181</v>
      </c>
      <c r="C133" s="58" t="s">
        <v>242</v>
      </c>
      <c r="D133" s="50" t="s">
        <v>515</v>
      </c>
      <c r="E133" s="47" t="s">
        <v>516</v>
      </c>
      <c r="F133" s="29" t="s">
        <v>249</v>
      </c>
      <c r="G133" s="91">
        <v>0.26312500000000005</v>
      </c>
      <c r="H133" s="91">
        <v>1.0525000000000002</v>
      </c>
      <c r="I133" s="91">
        <v>5.2625000000000002</v>
      </c>
      <c r="J133" s="91"/>
      <c r="K133" s="91">
        <v>0.625</v>
      </c>
      <c r="L133" s="91">
        <v>5.2624999999999998E-2</v>
      </c>
    </row>
    <row r="134" spans="1:12" ht="15" customHeight="1" x14ac:dyDescent="0.45">
      <c r="A134" s="13">
        <f t="shared" ref="A134:A137" si="2">+A133+1</f>
        <v>131</v>
      </c>
      <c r="B134" s="42" t="s">
        <v>230</v>
      </c>
      <c r="C134" s="60" t="s">
        <v>398</v>
      </c>
      <c r="D134" s="50" t="s">
        <v>398</v>
      </c>
      <c r="E134" s="47" t="s">
        <v>517</v>
      </c>
      <c r="F134" s="17" t="s">
        <v>249</v>
      </c>
      <c r="G134" s="91">
        <v>0.26312500000000005</v>
      </c>
      <c r="H134" s="91">
        <v>0.26312500000000005</v>
      </c>
      <c r="I134" s="91">
        <v>0.52625000000000011</v>
      </c>
      <c r="J134" s="91"/>
      <c r="K134" s="91">
        <v>0.26312500000000005</v>
      </c>
      <c r="L134" s="91">
        <v>2.6312499999999999E-2</v>
      </c>
    </row>
    <row r="135" spans="1:12" ht="15" customHeight="1" x14ac:dyDescent="0.45">
      <c r="A135" s="13">
        <f t="shared" si="2"/>
        <v>132</v>
      </c>
      <c r="B135" s="42" t="s">
        <v>188</v>
      </c>
      <c r="C135" s="58" t="s">
        <v>518</v>
      </c>
      <c r="D135" s="50" t="s">
        <v>258</v>
      </c>
      <c r="E135" s="47" t="s">
        <v>519</v>
      </c>
      <c r="F135" s="17" t="s">
        <v>245</v>
      </c>
      <c r="G135" s="91">
        <v>0.92625000000000002</v>
      </c>
      <c r="H135" s="91">
        <v>0.92625000000000002</v>
      </c>
      <c r="I135" s="91">
        <v>6.1750000000000007</v>
      </c>
      <c r="J135" s="91"/>
      <c r="K135" s="91">
        <v>0.625</v>
      </c>
      <c r="L135" s="91">
        <v>0.12350000000000001</v>
      </c>
    </row>
    <row r="136" spans="1:12" ht="15" customHeight="1" x14ac:dyDescent="0.45">
      <c r="A136" s="13">
        <f t="shared" si="2"/>
        <v>133</v>
      </c>
      <c r="B136" s="42" t="s">
        <v>188</v>
      </c>
      <c r="C136" s="58" t="s">
        <v>290</v>
      </c>
      <c r="D136" s="50" t="s">
        <v>288</v>
      </c>
      <c r="E136" s="47" t="s">
        <v>520</v>
      </c>
      <c r="F136" s="29" t="s">
        <v>249</v>
      </c>
      <c r="G136" s="91">
        <v>0.52625000000000011</v>
      </c>
      <c r="H136" s="91">
        <v>1.315625</v>
      </c>
      <c r="I136" s="91">
        <v>5.2625000000000002</v>
      </c>
      <c r="J136" s="91">
        <v>67.5</v>
      </c>
      <c r="K136" s="91">
        <v>0.52625000000000011</v>
      </c>
      <c r="L136" s="91">
        <v>0.52625000000000011</v>
      </c>
    </row>
    <row r="137" spans="1:12" ht="15" customHeight="1" x14ac:dyDescent="0.45">
      <c r="A137" s="13">
        <f t="shared" si="2"/>
        <v>134</v>
      </c>
      <c r="B137" s="42" t="s">
        <v>188</v>
      </c>
      <c r="C137" s="58" t="s">
        <v>521</v>
      </c>
      <c r="D137" s="50" t="s">
        <v>522</v>
      </c>
      <c r="E137" s="47" t="s">
        <v>523</v>
      </c>
      <c r="F137" s="29" t="s">
        <v>249</v>
      </c>
      <c r="G137" s="91">
        <v>0.52625000000000011</v>
      </c>
      <c r="H137" s="91">
        <v>1.315625</v>
      </c>
      <c r="I137" s="91">
        <v>21.05</v>
      </c>
      <c r="J137" s="91"/>
      <c r="K137" s="91">
        <v>0.15787499999999999</v>
      </c>
      <c r="L137" s="91">
        <v>0.26312500000000005</v>
      </c>
    </row>
    <row r="138" spans="1:12" x14ac:dyDescent="0.45">
      <c r="B138" s="62"/>
      <c r="C138" s="62"/>
      <c r="D138" s="63"/>
      <c r="E138" s="64"/>
    </row>
    <row r="139" spans="1:12" x14ac:dyDescent="0.45">
      <c r="B139" s="66"/>
      <c r="C139" s="62"/>
      <c r="D139" s="63"/>
      <c r="E139" s="64"/>
    </row>
    <row r="140" spans="1:12" x14ac:dyDescent="0.45">
      <c r="A140" s="67"/>
      <c r="B140" s="68"/>
      <c r="C140" s="62"/>
      <c r="D140" s="63"/>
      <c r="E140" s="64"/>
    </row>
    <row r="141" spans="1:12" x14ac:dyDescent="0.45">
      <c r="B141" s="62"/>
      <c r="C141" s="62"/>
      <c r="D141" s="63"/>
      <c r="E141" s="64"/>
    </row>
    <row r="142" spans="1:12" x14ac:dyDescent="0.45">
      <c r="B142" s="62"/>
      <c r="C142" s="62"/>
      <c r="D142" s="63"/>
      <c r="E142" s="64"/>
    </row>
    <row r="143" spans="1:12" x14ac:dyDescent="0.45">
      <c r="B143" s="62"/>
      <c r="C143" s="62"/>
      <c r="D143" s="63"/>
      <c r="E143" s="64"/>
    </row>
    <row r="144" spans="1:12" x14ac:dyDescent="0.45">
      <c r="B144" s="62"/>
      <c r="C144" s="62"/>
      <c r="D144" s="63"/>
      <c r="E144" s="64"/>
    </row>
    <row r="145" spans="2:5" x14ac:dyDescent="0.45">
      <c r="B145" s="62"/>
      <c r="C145" s="62"/>
      <c r="D145" s="63"/>
      <c r="E145" s="64"/>
    </row>
    <row r="146" spans="2:5" x14ac:dyDescent="0.45">
      <c r="B146" s="62"/>
      <c r="C146" s="62"/>
      <c r="D146" s="63"/>
      <c r="E146" s="64"/>
    </row>
    <row r="147" spans="2:5" x14ac:dyDescent="0.45">
      <c r="B147" s="62"/>
      <c r="C147" s="62"/>
      <c r="D147" s="63"/>
      <c r="E147" s="64"/>
    </row>
    <row r="148" spans="2:5" x14ac:dyDescent="0.45">
      <c r="B148" s="62"/>
      <c r="C148" s="62"/>
      <c r="D148" s="63"/>
      <c r="E148" s="64"/>
    </row>
    <row r="149" spans="2:5" x14ac:dyDescent="0.45">
      <c r="B149" s="62"/>
      <c r="C149" s="62"/>
      <c r="D149" s="63"/>
      <c r="E149" s="64"/>
    </row>
  </sheetData>
  <mergeCells count="1">
    <mergeCell ref="G2:K2"/>
  </mergeCells>
  <pageMargins left="0.7" right="0.7" top="0.75" bottom="0.75" header="0.3" footer="0.3"/>
  <headerFooter>
    <oddFooter>&amp;L_x000D_&amp;1#&amp;"Calibri"&amp;10&amp;K000000 Restricted/Internal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7B43-BD2F-418F-A44A-FB65FF81BB1B}">
  <dimension ref="A2:B173"/>
  <sheetViews>
    <sheetView workbookViewId="0">
      <selection activeCell="B1" sqref="B1"/>
    </sheetView>
  </sheetViews>
  <sheetFormatPr defaultRowHeight="14.25" x14ac:dyDescent="0.45"/>
  <cols>
    <col min="2" max="2" width="32.33203125" bestFit="1" customWidth="1"/>
  </cols>
  <sheetData>
    <row r="2" spans="1:2" x14ac:dyDescent="0.45">
      <c r="A2">
        <v>1</v>
      </c>
      <c r="B2" t="s">
        <v>12</v>
      </c>
    </row>
    <row r="3" spans="1:2" x14ac:dyDescent="0.45">
      <c r="A3">
        <v>2</v>
      </c>
      <c r="B3" t="s">
        <v>524</v>
      </c>
    </row>
    <row r="4" spans="1:2" x14ac:dyDescent="0.45">
      <c r="A4">
        <v>3</v>
      </c>
      <c r="B4" t="s">
        <v>525</v>
      </c>
    </row>
    <row r="5" spans="1:2" x14ac:dyDescent="0.45">
      <c r="A5">
        <v>4</v>
      </c>
      <c r="B5" t="s">
        <v>13</v>
      </c>
    </row>
    <row r="6" spans="1:2" x14ac:dyDescent="0.45">
      <c r="A6">
        <v>5</v>
      </c>
      <c r="B6" t="s">
        <v>526</v>
      </c>
    </row>
    <row r="7" spans="1:2" x14ac:dyDescent="0.45">
      <c r="A7">
        <v>6</v>
      </c>
      <c r="B7" t="s">
        <v>15</v>
      </c>
    </row>
    <row r="8" spans="1:2" x14ac:dyDescent="0.45">
      <c r="A8">
        <v>7</v>
      </c>
      <c r="B8" t="s">
        <v>527</v>
      </c>
    </row>
    <row r="9" spans="1:2" x14ac:dyDescent="0.45">
      <c r="A9">
        <v>8</v>
      </c>
      <c r="B9" t="s">
        <v>528</v>
      </c>
    </row>
    <row r="10" spans="1:2" x14ac:dyDescent="0.45">
      <c r="A10">
        <v>9</v>
      </c>
      <c r="B10" t="s">
        <v>197</v>
      </c>
    </row>
    <row r="11" spans="1:2" x14ac:dyDescent="0.45">
      <c r="A11">
        <v>10</v>
      </c>
      <c r="B11" t="s">
        <v>198</v>
      </c>
    </row>
    <row r="12" spans="1:2" x14ac:dyDescent="0.45">
      <c r="A12">
        <v>11</v>
      </c>
      <c r="B12" t="s">
        <v>19</v>
      </c>
    </row>
    <row r="13" spans="1:2" x14ac:dyDescent="0.45">
      <c r="A13">
        <v>12</v>
      </c>
      <c r="B13" t="s">
        <v>21</v>
      </c>
    </row>
    <row r="14" spans="1:2" x14ac:dyDescent="0.45">
      <c r="A14">
        <v>13</v>
      </c>
      <c r="B14" t="s">
        <v>22</v>
      </c>
    </row>
    <row r="15" spans="1:2" x14ac:dyDescent="0.45">
      <c r="A15">
        <v>14</v>
      </c>
      <c r="B15" t="s">
        <v>24</v>
      </c>
    </row>
    <row r="16" spans="1:2" x14ac:dyDescent="0.45">
      <c r="A16">
        <v>15</v>
      </c>
      <c r="B16" t="s">
        <v>529</v>
      </c>
    </row>
    <row r="17" spans="1:2" x14ac:dyDescent="0.45">
      <c r="A17">
        <v>16</v>
      </c>
      <c r="B17" t="s">
        <v>199</v>
      </c>
    </row>
    <row r="18" spans="1:2" x14ac:dyDescent="0.45">
      <c r="A18">
        <v>17</v>
      </c>
      <c r="B18" t="s">
        <v>25</v>
      </c>
    </row>
    <row r="19" spans="1:2" x14ac:dyDescent="0.45">
      <c r="A19">
        <v>18</v>
      </c>
      <c r="B19" t="s">
        <v>530</v>
      </c>
    </row>
    <row r="20" spans="1:2" x14ac:dyDescent="0.45">
      <c r="A20">
        <v>19</v>
      </c>
      <c r="B20" t="s">
        <v>531</v>
      </c>
    </row>
    <row r="21" spans="1:2" x14ac:dyDescent="0.45">
      <c r="A21">
        <v>20</v>
      </c>
      <c r="B21" t="s">
        <v>28</v>
      </c>
    </row>
    <row r="22" spans="1:2" x14ac:dyDescent="0.45">
      <c r="A22">
        <v>21</v>
      </c>
      <c r="B22" t="s">
        <v>532</v>
      </c>
    </row>
    <row r="23" spans="1:2" x14ac:dyDescent="0.45">
      <c r="A23">
        <v>22</v>
      </c>
      <c r="B23" t="s">
        <v>533</v>
      </c>
    </row>
    <row r="24" spans="1:2" x14ac:dyDescent="0.45">
      <c r="A24">
        <v>23</v>
      </c>
      <c r="B24" t="s">
        <v>31</v>
      </c>
    </row>
    <row r="25" spans="1:2" x14ac:dyDescent="0.45">
      <c r="A25">
        <v>24</v>
      </c>
      <c r="B25" t="s">
        <v>32</v>
      </c>
    </row>
    <row r="26" spans="1:2" x14ac:dyDescent="0.45">
      <c r="A26">
        <v>25</v>
      </c>
      <c r="B26" t="s">
        <v>202</v>
      </c>
    </row>
    <row r="27" spans="1:2" x14ac:dyDescent="0.45">
      <c r="A27">
        <v>26</v>
      </c>
      <c r="B27" t="s">
        <v>534</v>
      </c>
    </row>
    <row r="28" spans="1:2" x14ac:dyDescent="0.45">
      <c r="A28">
        <v>27</v>
      </c>
      <c r="B28" t="s">
        <v>33</v>
      </c>
    </row>
    <row r="29" spans="1:2" x14ac:dyDescent="0.45">
      <c r="A29">
        <v>28</v>
      </c>
      <c r="B29" t="s">
        <v>34</v>
      </c>
    </row>
    <row r="30" spans="1:2" x14ac:dyDescent="0.45">
      <c r="A30">
        <v>29</v>
      </c>
      <c r="B30" t="s">
        <v>203</v>
      </c>
    </row>
    <row r="31" spans="1:2" x14ac:dyDescent="0.45">
      <c r="A31">
        <v>30</v>
      </c>
      <c r="B31" t="s">
        <v>535</v>
      </c>
    </row>
    <row r="32" spans="1:2" x14ac:dyDescent="0.45">
      <c r="A32">
        <v>31</v>
      </c>
      <c r="B32" t="s">
        <v>37</v>
      </c>
    </row>
    <row r="33" spans="1:2" x14ac:dyDescent="0.45">
      <c r="A33">
        <v>32</v>
      </c>
      <c r="B33" t="s">
        <v>38</v>
      </c>
    </row>
    <row r="34" spans="1:2" x14ac:dyDescent="0.45">
      <c r="A34">
        <v>33</v>
      </c>
      <c r="B34" t="s">
        <v>40</v>
      </c>
    </row>
    <row r="35" spans="1:2" x14ac:dyDescent="0.45">
      <c r="A35">
        <v>34</v>
      </c>
      <c r="B35" t="s">
        <v>41</v>
      </c>
    </row>
    <row r="36" spans="1:2" x14ac:dyDescent="0.45">
      <c r="A36">
        <v>35</v>
      </c>
      <c r="B36" t="s">
        <v>204</v>
      </c>
    </row>
    <row r="37" spans="1:2" x14ac:dyDescent="0.45">
      <c r="A37">
        <v>36</v>
      </c>
      <c r="B37" t="s">
        <v>536</v>
      </c>
    </row>
    <row r="38" spans="1:2" x14ac:dyDescent="0.45">
      <c r="A38">
        <v>37</v>
      </c>
      <c r="B38" t="s">
        <v>537</v>
      </c>
    </row>
    <row r="39" spans="1:2" x14ac:dyDescent="0.45">
      <c r="A39">
        <v>38</v>
      </c>
      <c r="B39" t="s">
        <v>43</v>
      </c>
    </row>
    <row r="40" spans="1:2" x14ac:dyDescent="0.45">
      <c r="A40">
        <v>39</v>
      </c>
      <c r="B40" t="s">
        <v>44</v>
      </c>
    </row>
    <row r="41" spans="1:2" x14ac:dyDescent="0.45">
      <c r="A41">
        <v>40</v>
      </c>
      <c r="B41" t="s">
        <v>205</v>
      </c>
    </row>
    <row r="42" spans="1:2" x14ac:dyDescent="0.45">
      <c r="A42">
        <v>41</v>
      </c>
      <c r="B42" t="s">
        <v>45</v>
      </c>
    </row>
    <row r="43" spans="1:2" x14ac:dyDescent="0.45">
      <c r="A43">
        <v>42</v>
      </c>
      <c r="B43" t="s">
        <v>46</v>
      </c>
    </row>
    <row r="44" spans="1:2" x14ac:dyDescent="0.45">
      <c r="A44">
        <v>43</v>
      </c>
      <c r="B44" t="s">
        <v>538</v>
      </c>
    </row>
    <row r="45" spans="1:2" x14ac:dyDescent="0.45">
      <c r="A45">
        <v>44</v>
      </c>
      <c r="B45" t="s">
        <v>48</v>
      </c>
    </row>
    <row r="46" spans="1:2" x14ac:dyDescent="0.45">
      <c r="A46">
        <v>45</v>
      </c>
      <c r="B46" t="s">
        <v>49</v>
      </c>
    </row>
    <row r="47" spans="1:2" x14ac:dyDescent="0.45">
      <c r="A47">
        <v>46</v>
      </c>
      <c r="B47" t="s">
        <v>50</v>
      </c>
    </row>
    <row r="48" spans="1:2" x14ac:dyDescent="0.45">
      <c r="A48">
        <v>47</v>
      </c>
      <c r="B48" t="s">
        <v>53</v>
      </c>
    </row>
    <row r="49" spans="1:2" x14ac:dyDescent="0.45">
      <c r="A49">
        <v>48</v>
      </c>
      <c r="B49" t="s">
        <v>54</v>
      </c>
    </row>
    <row r="50" spans="1:2" x14ac:dyDescent="0.45">
      <c r="A50">
        <v>49</v>
      </c>
      <c r="B50" t="s">
        <v>55</v>
      </c>
    </row>
    <row r="51" spans="1:2" x14ac:dyDescent="0.45">
      <c r="A51">
        <v>50</v>
      </c>
      <c r="B51" t="s">
        <v>56</v>
      </c>
    </row>
    <row r="52" spans="1:2" x14ac:dyDescent="0.45">
      <c r="A52">
        <v>51</v>
      </c>
      <c r="B52" t="s">
        <v>57</v>
      </c>
    </row>
    <row r="53" spans="1:2" x14ac:dyDescent="0.45">
      <c r="A53">
        <v>52</v>
      </c>
      <c r="B53" t="s">
        <v>58</v>
      </c>
    </row>
    <row r="54" spans="1:2" x14ac:dyDescent="0.45">
      <c r="A54">
        <v>53</v>
      </c>
      <c r="B54" t="s">
        <v>539</v>
      </c>
    </row>
    <row r="55" spans="1:2" x14ac:dyDescent="0.45">
      <c r="A55">
        <v>54</v>
      </c>
      <c r="B55" t="s">
        <v>59</v>
      </c>
    </row>
    <row r="56" spans="1:2" x14ac:dyDescent="0.45">
      <c r="A56">
        <v>55</v>
      </c>
      <c r="B56" t="s">
        <v>540</v>
      </c>
    </row>
    <row r="57" spans="1:2" x14ac:dyDescent="0.45">
      <c r="A57">
        <v>56</v>
      </c>
      <c r="B57" t="s">
        <v>541</v>
      </c>
    </row>
    <row r="58" spans="1:2" x14ac:dyDescent="0.45">
      <c r="A58">
        <v>57</v>
      </c>
      <c r="B58" t="s">
        <v>60</v>
      </c>
    </row>
    <row r="59" spans="1:2" x14ac:dyDescent="0.45">
      <c r="A59">
        <v>58</v>
      </c>
      <c r="B59" t="s">
        <v>542</v>
      </c>
    </row>
    <row r="60" spans="1:2" x14ac:dyDescent="0.45">
      <c r="A60">
        <v>59</v>
      </c>
      <c r="B60" t="s">
        <v>208</v>
      </c>
    </row>
    <row r="61" spans="1:2" x14ac:dyDescent="0.45">
      <c r="A61">
        <v>60</v>
      </c>
      <c r="B61" t="s">
        <v>209</v>
      </c>
    </row>
    <row r="62" spans="1:2" x14ac:dyDescent="0.45">
      <c r="A62">
        <v>61</v>
      </c>
      <c r="B62" t="s">
        <v>63</v>
      </c>
    </row>
    <row r="63" spans="1:2" x14ac:dyDescent="0.45">
      <c r="A63">
        <v>62</v>
      </c>
      <c r="B63" t="s">
        <v>64</v>
      </c>
    </row>
    <row r="64" spans="1:2" x14ac:dyDescent="0.45">
      <c r="A64">
        <v>63</v>
      </c>
      <c r="B64" t="s">
        <v>66</v>
      </c>
    </row>
    <row r="65" spans="1:2" x14ac:dyDescent="0.45">
      <c r="A65">
        <v>64</v>
      </c>
      <c r="B65" t="s">
        <v>67</v>
      </c>
    </row>
    <row r="66" spans="1:2" x14ac:dyDescent="0.45">
      <c r="A66">
        <v>65</v>
      </c>
      <c r="B66" t="s">
        <v>69</v>
      </c>
    </row>
    <row r="67" spans="1:2" x14ac:dyDescent="0.45">
      <c r="A67">
        <v>66</v>
      </c>
      <c r="B67" t="s">
        <v>543</v>
      </c>
    </row>
    <row r="68" spans="1:2" x14ac:dyDescent="0.45">
      <c r="A68">
        <v>67</v>
      </c>
      <c r="B68" t="s">
        <v>544</v>
      </c>
    </row>
    <row r="69" spans="1:2" x14ac:dyDescent="0.45">
      <c r="A69">
        <v>68</v>
      </c>
      <c r="B69" t="s">
        <v>211</v>
      </c>
    </row>
    <row r="70" spans="1:2" x14ac:dyDescent="0.45">
      <c r="A70">
        <v>69</v>
      </c>
      <c r="B70" t="s">
        <v>545</v>
      </c>
    </row>
    <row r="71" spans="1:2" x14ac:dyDescent="0.45">
      <c r="A71">
        <v>70</v>
      </c>
      <c r="B71" t="s">
        <v>70</v>
      </c>
    </row>
    <row r="72" spans="1:2" x14ac:dyDescent="0.45">
      <c r="A72">
        <v>71</v>
      </c>
      <c r="B72" t="s">
        <v>212</v>
      </c>
    </row>
    <row r="73" spans="1:2" x14ac:dyDescent="0.45">
      <c r="A73">
        <v>72</v>
      </c>
      <c r="B73" t="s">
        <v>546</v>
      </c>
    </row>
    <row r="74" spans="1:2" x14ac:dyDescent="0.45">
      <c r="A74">
        <v>73</v>
      </c>
      <c r="B74" t="s">
        <v>72</v>
      </c>
    </row>
    <row r="75" spans="1:2" x14ac:dyDescent="0.45">
      <c r="A75">
        <v>74</v>
      </c>
      <c r="B75" t="s">
        <v>213</v>
      </c>
    </row>
    <row r="76" spans="1:2" x14ac:dyDescent="0.45">
      <c r="A76">
        <v>75</v>
      </c>
      <c r="B76" t="s">
        <v>547</v>
      </c>
    </row>
    <row r="77" spans="1:2" x14ac:dyDescent="0.45">
      <c r="A77">
        <v>76</v>
      </c>
      <c r="B77" t="s">
        <v>73</v>
      </c>
    </row>
    <row r="78" spans="1:2" x14ac:dyDescent="0.45">
      <c r="A78">
        <v>77</v>
      </c>
      <c r="B78" t="s">
        <v>75</v>
      </c>
    </row>
    <row r="79" spans="1:2" x14ac:dyDescent="0.45">
      <c r="A79">
        <v>78</v>
      </c>
      <c r="B79" t="s">
        <v>76</v>
      </c>
    </row>
    <row r="80" spans="1:2" x14ac:dyDescent="0.45">
      <c r="A80">
        <v>79</v>
      </c>
      <c r="B80" t="s">
        <v>548</v>
      </c>
    </row>
    <row r="81" spans="1:2" x14ac:dyDescent="0.45">
      <c r="A81">
        <v>80</v>
      </c>
      <c r="B81" t="s">
        <v>549</v>
      </c>
    </row>
    <row r="82" spans="1:2" x14ac:dyDescent="0.45">
      <c r="A82">
        <v>81</v>
      </c>
      <c r="B82" t="s">
        <v>83</v>
      </c>
    </row>
    <row r="83" spans="1:2" x14ac:dyDescent="0.45">
      <c r="A83">
        <v>82</v>
      </c>
      <c r="B83" t="s">
        <v>550</v>
      </c>
    </row>
    <row r="84" spans="1:2" x14ac:dyDescent="0.45">
      <c r="A84">
        <v>83</v>
      </c>
      <c r="B84" t="s">
        <v>85</v>
      </c>
    </row>
    <row r="85" spans="1:2" x14ac:dyDescent="0.45">
      <c r="A85">
        <v>84</v>
      </c>
      <c r="B85" t="s">
        <v>87</v>
      </c>
    </row>
    <row r="86" spans="1:2" x14ac:dyDescent="0.45">
      <c r="A86">
        <v>85</v>
      </c>
      <c r="B86" t="s">
        <v>88</v>
      </c>
    </row>
    <row r="87" spans="1:2" x14ac:dyDescent="0.45">
      <c r="A87">
        <v>86</v>
      </c>
      <c r="B87" t="s">
        <v>217</v>
      </c>
    </row>
    <row r="88" spans="1:2" x14ac:dyDescent="0.45">
      <c r="A88">
        <v>87</v>
      </c>
      <c r="B88" t="s">
        <v>93</v>
      </c>
    </row>
    <row r="89" spans="1:2" x14ac:dyDescent="0.45">
      <c r="A89">
        <v>88</v>
      </c>
      <c r="B89" t="s">
        <v>551</v>
      </c>
    </row>
    <row r="90" spans="1:2" x14ac:dyDescent="0.45">
      <c r="A90">
        <v>89</v>
      </c>
      <c r="B90" t="s">
        <v>98</v>
      </c>
    </row>
    <row r="91" spans="1:2" x14ac:dyDescent="0.45">
      <c r="A91">
        <v>90</v>
      </c>
      <c r="B91" t="s">
        <v>218</v>
      </c>
    </row>
    <row r="92" spans="1:2" x14ac:dyDescent="0.45">
      <c r="A92">
        <v>91</v>
      </c>
      <c r="B92" t="s">
        <v>99</v>
      </c>
    </row>
    <row r="93" spans="1:2" x14ac:dyDescent="0.45">
      <c r="A93">
        <v>92</v>
      </c>
      <c r="B93" t="s">
        <v>100</v>
      </c>
    </row>
    <row r="94" spans="1:2" x14ac:dyDescent="0.45">
      <c r="A94">
        <v>93</v>
      </c>
      <c r="B94" t="s">
        <v>101</v>
      </c>
    </row>
    <row r="95" spans="1:2" x14ac:dyDescent="0.45">
      <c r="A95">
        <v>94</v>
      </c>
      <c r="B95" t="s">
        <v>102</v>
      </c>
    </row>
    <row r="96" spans="1:2" x14ac:dyDescent="0.45">
      <c r="A96">
        <v>95</v>
      </c>
      <c r="B96" t="s">
        <v>106</v>
      </c>
    </row>
    <row r="97" spans="1:2" x14ac:dyDescent="0.45">
      <c r="A97">
        <v>96</v>
      </c>
      <c r="B97" t="s">
        <v>107</v>
      </c>
    </row>
    <row r="98" spans="1:2" x14ac:dyDescent="0.45">
      <c r="A98">
        <v>97</v>
      </c>
      <c r="B98" t="s">
        <v>109</v>
      </c>
    </row>
    <row r="99" spans="1:2" x14ac:dyDescent="0.45">
      <c r="A99">
        <v>98</v>
      </c>
      <c r="B99" t="s">
        <v>110</v>
      </c>
    </row>
    <row r="100" spans="1:2" x14ac:dyDescent="0.45">
      <c r="A100">
        <v>99</v>
      </c>
      <c r="B100" t="s">
        <v>111</v>
      </c>
    </row>
    <row r="101" spans="1:2" x14ac:dyDescent="0.45">
      <c r="A101">
        <v>100</v>
      </c>
      <c r="B101" t="s">
        <v>552</v>
      </c>
    </row>
    <row r="102" spans="1:2" x14ac:dyDescent="0.45">
      <c r="A102">
        <v>101</v>
      </c>
      <c r="B102" t="s">
        <v>112</v>
      </c>
    </row>
    <row r="103" spans="1:2" x14ac:dyDescent="0.45">
      <c r="A103">
        <v>102</v>
      </c>
      <c r="B103" t="s">
        <v>113</v>
      </c>
    </row>
    <row r="104" spans="1:2" x14ac:dyDescent="0.45">
      <c r="A104">
        <v>103</v>
      </c>
      <c r="B104" t="s">
        <v>553</v>
      </c>
    </row>
    <row r="105" spans="1:2" x14ac:dyDescent="0.45">
      <c r="A105">
        <v>104</v>
      </c>
      <c r="B105" t="s">
        <v>554</v>
      </c>
    </row>
    <row r="106" spans="1:2" x14ac:dyDescent="0.45">
      <c r="A106">
        <v>105</v>
      </c>
      <c r="B106" t="s">
        <v>555</v>
      </c>
    </row>
    <row r="107" spans="1:2" x14ac:dyDescent="0.45">
      <c r="A107">
        <v>106</v>
      </c>
      <c r="B107" t="s">
        <v>219</v>
      </c>
    </row>
    <row r="108" spans="1:2" x14ac:dyDescent="0.45">
      <c r="A108">
        <v>107</v>
      </c>
      <c r="B108" t="s">
        <v>116</v>
      </c>
    </row>
    <row r="109" spans="1:2" x14ac:dyDescent="0.45">
      <c r="A109">
        <v>108</v>
      </c>
      <c r="B109" t="s">
        <v>117</v>
      </c>
    </row>
    <row r="110" spans="1:2" x14ac:dyDescent="0.45">
      <c r="A110">
        <v>109</v>
      </c>
      <c r="B110" t="s">
        <v>556</v>
      </c>
    </row>
    <row r="111" spans="1:2" x14ac:dyDescent="0.45">
      <c r="A111">
        <v>110</v>
      </c>
      <c r="B111" t="s">
        <v>118</v>
      </c>
    </row>
    <row r="112" spans="1:2" x14ac:dyDescent="0.45">
      <c r="A112">
        <v>111</v>
      </c>
      <c r="B112" t="s">
        <v>119</v>
      </c>
    </row>
    <row r="113" spans="1:2" x14ac:dyDescent="0.45">
      <c r="A113">
        <v>112</v>
      </c>
      <c r="B113" t="s">
        <v>121</v>
      </c>
    </row>
    <row r="114" spans="1:2" x14ac:dyDescent="0.45">
      <c r="A114">
        <v>113</v>
      </c>
      <c r="B114" t="s">
        <v>557</v>
      </c>
    </row>
    <row r="115" spans="1:2" x14ac:dyDescent="0.45">
      <c r="A115">
        <v>114</v>
      </c>
      <c r="B115" t="s">
        <v>220</v>
      </c>
    </row>
    <row r="116" spans="1:2" x14ac:dyDescent="0.45">
      <c r="A116">
        <v>115</v>
      </c>
      <c r="B116" t="s">
        <v>124</v>
      </c>
    </row>
    <row r="117" spans="1:2" x14ac:dyDescent="0.45">
      <c r="A117">
        <v>116</v>
      </c>
      <c r="B117" t="s">
        <v>126</v>
      </c>
    </row>
    <row r="118" spans="1:2" x14ac:dyDescent="0.45">
      <c r="A118">
        <v>117</v>
      </c>
      <c r="B118" t="s">
        <v>127</v>
      </c>
    </row>
    <row r="119" spans="1:2" x14ac:dyDescent="0.45">
      <c r="A119">
        <v>118</v>
      </c>
      <c r="B119" t="s">
        <v>128</v>
      </c>
    </row>
    <row r="120" spans="1:2" x14ac:dyDescent="0.45">
      <c r="A120">
        <v>119</v>
      </c>
      <c r="B120" t="s">
        <v>558</v>
      </c>
    </row>
    <row r="121" spans="1:2" x14ac:dyDescent="0.45">
      <c r="A121">
        <v>120</v>
      </c>
      <c r="B121" t="s">
        <v>559</v>
      </c>
    </row>
    <row r="122" spans="1:2" x14ac:dyDescent="0.45">
      <c r="A122">
        <v>121</v>
      </c>
      <c r="B122" t="s">
        <v>129</v>
      </c>
    </row>
    <row r="123" spans="1:2" x14ac:dyDescent="0.45">
      <c r="A123">
        <v>122</v>
      </c>
      <c r="B123" t="s">
        <v>560</v>
      </c>
    </row>
    <row r="124" spans="1:2" x14ac:dyDescent="0.45">
      <c r="A124">
        <v>123</v>
      </c>
      <c r="B124" t="s">
        <v>221</v>
      </c>
    </row>
    <row r="125" spans="1:2" x14ac:dyDescent="0.45">
      <c r="A125">
        <v>124</v>
      </c>
      <c r="B125" t="s">
        <v>561</v>
      </c>
    </row>
    <row r="126" spans="1:2" x14ac:dyDescent="0.45">
      <c r="A126">
        <v>125</v>
      </c>
      <c r="B126" t="s">
        <v>134</v>
      </c>
    </row>
    <row r="127" spans="1:2" x14ac:dyDescent="0.45">
      <c r="A127">
        <v>126</v>
      </c>
      <c r="B127" t="s">
        <v>135</v>
      </c>
    </row>
    <row r="128" spans="1:2" x14ac:dyDescent="0.45">
      <c r="A128">
        <v>127</v>
      </c>
      <c r="B128" t="s">
        <v>136</v>
      </c>
    </row>
    <row r="129" spans="1:2" x14ac:dyDescent="0.45">
      <c r="A129">
        <v>128</v>
      </c>
      <c r="B129" t="s">
        <v>137</v>
      </c>
    </row>
    <row r="130" spans="1:2" x14ac:dyDescent="0.45">
      <c r="A130">
        <v>129</v>
      </c>
      <c r="B130" t="s">
        <v>141</v>
      </c>
    </row>
    <row r="131" spans="1:2" x14ac:dyDescent="0.45">
      <c r="A131">
        <v>130</v>
      </c>
      <c r="B131" t="s">
        <v>147</v>
      </c>
    </row>
    <row r="132" spans="1:2" x14ac:dyDescent="0.45">
      <c r="A132">
        <v>131</v>
      </c>
      <c r="B132" t="s">
        <v>562</v>
      </c>
    </row>
    <row r="133" spans="1:2" x14ac:dyDescent="0.45">
      <c r="A133">
        <v>132</v>
      </c>
      <c r="B133" t="s">
        <v>148</v>
      </c>
    </row>
    <row r="134" spans="1:2" x14ac:dyDescent="0.45">
      <c r="A134">
        <v>133</v>
      </c>
      <c r="B134" t="s">
        <v>149</v>
      </c>
    </row>
    <row r="135" spans="1:2" x14ac:dyDescent="0.45">
      <c r="A135">
        <v>134</v>
      </c>
      <c r="B135" t="s">
        <v>563</v>
      </c>
    </row>
    <row r="136" spans="1:2" x14ac:dyDescent="0.45">
      <c r="A136">
        <v>135</v>
      </c>
      <c r="B136" t="s">
        <v>564</v>
      </c>
    </row>
    <row r="137" spans="1:2" x14ac:dyDescent="0.45">
      <c r="A137">
        <v>136</v>
      </c>
      <c r="B137" t="s">
        <v>565</v>
      </c>
    </row>
    <row r="138" spans="1:2" x14ac:dyDescent="0.45">
      <c r="A138">
        <v>137</v>
      </c>
      <c r="B138" t="s">
        <v>150</v>
      </c>
    </row>
    <row r="139" spans="1:2" x14ac:dyDescent="0.45">
      <c r="A139">
        <v>138</v>
      </c>
      <c r="B139" t="s">
        <v>566</v>
      </c>
    </row>
    <row r="140" spans="1:2" x14ac:dyDescent="0.45">
      <c r="A140">
        <v>139</v>
      </c>
      <c r="B140" t="s">
        <v>567</v>
      </c>
    </row>
    <row r="141" spans="1:2" x14ac:dyDescent="0.45">
      <c r="A141">
        <v>140</v>
      </c>
      <c r="B141" t="s">
        <v>151</v>
      </c>
    </row>
    <row r="142" spans="1:2" x14ac:dyDescent="0.45">
      <c r="A142">
        <v>141</v>
      </c>
      <c r="B142" t="s">
        <v>152</v>
      </c>
    </row>
    <row r="143" spans="1:2" x14ac:dyDescent="0.45">
      <c r="A143">
        <v>142</v>
      </c>
      <c r="B143" t="s">
        <v>153</v>
      </c>
    </row>
    <row r="144" spans="1:2" x14ac:dyDescent="0.45">
      <c r="A144">
        <v>143</v>
      </c>
      <c r="B144" t="s">
        <v>222</v>
      </c>
    </row>
    <row r="145" spans="1:2" x14ac:dyDescent="0.45">
      <c r="A145">
        <v>144</v>
      </c>
      <c r="B145" t="s">
        <v>223</v>
      </c>
    </row>
    <row r="146" spans="1:2" x14ac:dyDescent="0.45">
      <c r="A146">
        <v>145</v>
      </c>
      <c r="B146" t="s">
        <v>224</v>
      </c>
    </row>
    <row r="147" spans="1:2" x14ac:dyDescent="0.45">
      <c r="A147">
        <v>146</v>
      </c>
      <c r="B147" t="s">
        <v>157</v>
      </c>
    </row>
    <row r="148" spans="1:2" x14ac:dyDescent="0.45">
      <c r="A148">
        <v>147</v>
      </c>
      <c r="B148" t="s">
        <v>568</v>
      </c>
    </row>
    <row r="149" spans="1:2" x14ac:dyDescent="0.45">
      <c r="A149">
        <v>148</v>
      </c>
      <c r="B149" t="s">
        <v>569</v>
      </c>
    </row>
    <row r="150" spans="1:2" x14ac:dyDescent="0.45">
      <c r="A150">
        <v>149</v>
      </c>
      <c r="B150" t="s">
        <v>164</v>
      </c>
    </row>
    <row r="151" spans="1:2" x14ac:dyDescent="0.45">
      <c r="A151">
        <v>150</v>
      </c>
      <c r="B151" t="s">
        <v>570</v>
      </c>
    </row>
    <row r="152" spans="1:2" x14ac:dyDescent="0.45">
      <c r="A152">
        <v>151</v>
      </c>
      <c r="B152" t="s">
        <v>571</v>
      </c>
    </row>
    <row r="153" spans="1:2" x14ac:dyDescent="0.45">
      <c r="A153">
        <v>152</v>
      </c>
      <c r="B153" t="s">
        <v>170</v>
      </c>
    </row>
    <row r="154" spans="1:2" x14ac:dyDescent="0.45">
      <c r="A154">
        <v>153</v>
      </c>
      <c r="B154" t="s">
        <v>572</v>
      </c>
    </row>
    <row r="155" spans="1:2" x14ac:dyDescent="0.45">
      <c r="A155">
        <v>154</v>
      </c>
      <c r="B155" t="s">
        <v>573</v>
      </c>
    </row>
    <row r="156" spans="1:2" x14ac:dyDescent="0.45">
      <c r="A156">
        <v>155</v>
      </c>
      <c r="B156" t="s">
        <v>173</v>
      </c>
    </row>
    <row r="157" spans="1:2" x14ac:dyDescent="0.45">
      <c r="A157">
        <v>156</v>
      </c>
      <c r="B157" t="s">
        <v>174</v>
      </c>
    </row>
    <row r="158" spans="1:2" x14ac:dyDescent="0.45">
      <c r="A158">
        <v>157</v>
      </c>
      <c r="B158" t="s">
        <v>175</v>
      </c>
    </row>
    <row r="159" spans="1:2" x14ac:dyDescent="0.45">
      <c r="A159">
        <v>158</v>
      </c>
      <c r="B159" t="s">
        <v>574</v>
      </c>
    </row>
    <row r="160" spans="1:2" x14ac:dyDescent="0.45">
      <c r="A160">
        <v>159</v>
      </c>
      <c r="B160" t="s">
        <v>575</v>
      </c>
    </row>
    <row r="161" spans="1:2" x14ac:dyDescent="0.45">
      <c r="A161">
        <v>160</v>
      </c>
      <c r="B161" t="s">
        <v>177</v>
      </c>
    </row>
    <row r="162" spans="1:2" x14ac:dyDescent="0.45">
      <c r="A162">
        <v>161</v>
      </c>
      <c r="B162" t="s">
        <v>179</v>
      </c>
    </row>
    <row r="163" spans="1:2" x14ac:dyDescent="0.45">
      <c r="A163">
        <v>162</v>
      </c>
      <c r="B163" t="s">
        <v>576</v>
      </c>
    </row>
    <row r="164" spans="1:2" x14ac:dyDescent="0.45">
      <c r="A164">
        <v>163</v>
      </c>
      <c r="B164" t="s">
        <v>577</v>
      </c>
    </row>
    <row r="165" spans="1:2" x14ac:dyDescent="0.45">
      <c r="A165">
        <v>164</v>
      </c>
      <c r="B165" t="s">
        <v>228</v>
      </c>
    </row>
    <row r="166" spans="1:2" x14ac:dyDescent="0.45">
      <c r="A166">
        <v>165</v>
      </c>
      <c r="B166" t="s">
        <v>180</v>
      </c>
    </row>
    <row r="167" spans="1:2" x14ac:dyDescent="0.45">
      <c r="A167">
        <v>166</v>
      </c>
      <c r="B167" t="s">
        <v>578</v>
      </c>
    </row>
    <row r="168" spans="1:2" x14ac:dyDescent="0.45">
      <c r="A168">
        <v>167</v>
      </c>
      <c r="B168" t="s">
        <v>579</v>
      </c>
    </row>
    <row r="169" spans="1:2" x14ac:dyDescent="0.45">
      <c r="A169">
        <v>168</v>
      </c>
      <c r="B169" t="s">
        <v>580</v>
      </c>
    </row>
    <row r="170" spans="1:2" x14ac:dyDescent="0.45">
      <c r="A170">
        <v>169</v>
      </c>
      <c r="B170" t="s">
        <v>581</v>
      </c>
    </row>
    <row r="171" spans="1:2" x14ac:dyDescent="0.45">
      <c r="A171">
        <v>170</v>
      </c>
      <c r="B171" t="s">
        <v>190</v>
      </c>
    </row>
    <row r="172" spans="1:2" x14ac:dyDescent="0.45">
      <c r="A172">
        <v>171</v>
      </c>
      <c r="B172" t="s">
        <v>191</v>
      </c>
    </row>
    <row r="173" spans="1:2" x14ac:dyDescent="0.45">
      <c r="A173">
        <v>172</v>
      </c>
      <c r="B173" t="s">
        <v>192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6855f9-d2d2-4cd9-92ab-a002958b57c3}" enabled="1" method="Standard" siteId="{dba3d14a-fca7-4a1a-a5a7-5b8f6a739a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Premium Number</vt:lpstr>
      <vt:lpstr>Charging Block</vt:lpstr>
      <vt:lpstr>IDD Voice</vt:lpstr>
      <vt:lpstr>International SMS</vt:lpstr>
      <vt:lpstr>Roaming Data</vt:lpstr>
      <vt:lpstr>Roaming Voice and SMS</vt:lpstr>
      <vt:lpstr>HCD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Bin Mahmud</dc:creator>
  <cp:lastModifiedBy>Chia Han Hui</cp:lastModifiedBy>
  <dcterms:created xsi:type="dcterms:W3CDTF">2025-07-03T15:20:06Z</dcterms:created>
  <dcterms:modified xsi:type="dcterms:W3CDTF">2025-10-30T11:33:31Z</dcterms:modified>
</cp:coreProperties>
</file>